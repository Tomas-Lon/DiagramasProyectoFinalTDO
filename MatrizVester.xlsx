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ictures\ProyectoTDO\"/>
    </mc:Choice>
  </mc:AlternateContent>
  <xr:revisionPtr revIDLastSave="0" documentId="13_ncr:1_{32E65C2D-04AA-46C8-891E-0569FBF8511C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Matriz y gráfico" sheetId="1" r:id="rId1"/>
    <sheet name="Parámetros" sheetId="2" r:id="rId2"/>
    <sheet name="ARBOL DE PROBLEMAS" sheetId="3" r:id="rId3"/>
  </sheets>
  <externalReferences>
    <externalReference r:id="rId4"/>
  </externalReferences>
  <definedNames>
    <definedName name="Dependencia" localSheetId="2">'[1]Matriz y gráfico'!$C$17:$J$17</definedName>
    <definedName name="Dependencia">'Matriz y gráfico'!$C$23:$M$23</definedName>
    <definedName name="Influencia" localSheetId="2">'[1]Matriz y gráfico'!$K$9:$K$16</definedName>
    <definedName name="Influencia">'Matriz y gráfico'!$Q$9:$Q$22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10" i="1"/>
  <c r="Q9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C23" i="1"/>
  <c r="AG67" i="1"/>
  <c r="AG63" i="1"/>
  <c r="C4" i="2" l="1"/>
  <c r="D2" i="2"/>
  <c r="D3" i="2"/>
  <c r="D5" i="2"/>
  <c r="C5" i="2"/>
  <c r="C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Betancourt Quintero</author>
  </authors>
  <commentList>
    <comment ref="Q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Activos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Pasivos</t>
        </r>
      </text>
    </comment>
  </commentList>
</comments>
</file>

<file path=xl/sharedStrings.xml><?xml version="1.0" encoding="utf-8"?>
<sst xmlns="http://schemas.openxmlformats.org/spreadsheetml/2006/main" count="67" uniqueCount="53">
  <si>
    <t>Plantilla Matriz de Vester</t>
  </si>
  <si>
    <t>Situación problemática</t>
  </si>
  <si>
    <t>Código</t>
  </si>
  <si>
    <t>Variable</t>
  </si>
  <si>
    <t>P1</t>
  </si>
  <si>
    <t>P2</t>
  </si>
  <si>
    <t>P3</t>
  </si>
  <si>
    <t>P4</t>
  </si>
  <si>
    <t>P5</t>
  </si>
  <si>
    <t>P6</t>
  </si>
  <si>
    <t>P7</t>
  </si>
  <si>
    <t>INFLUENCIA</t>
  </si>
  <si>
    <t>DEPENDENCIA</t>
  </si>
  <si>
    <t>Clasificación</t>
  </si>
  <si>
    <t>X</t>
  </si>
  <si>
    <t>Y</t>
  </si>
  <si>
    <t>Linea horizontal</t>
  </si>
  <si>
    <t>Linea vertical</t>
  </si>
  <si>
    <t>P8</t>
  </si>
  <si>
    <t>P9</t>
  </si>
  <si>
    <t>P10</t>
  </si>
  <si>
    <t>Instrucciones</t>
  </si>
  <si>
    <t>¿Quieres más? Visita Ingenio Empresa, conocimiento para la gestión del negocio</t>
  </si>
  <si>
    <r>
      <t xml:space="preserve">Las celdas de color blanco son las que se pueden diligenciar. Las de color gris son de cálculo automático. Para entender cómo funciona, visita </t>
    </r>
    <r>
      <rPr>
        <b/>
        <sz val="11"/>
        <color theme="1"/>
        <rFont val="Calibri"/>
        <family val="2"/>
        <scheme val="minor"/>
      </rPr>
      <t>Ingenio Empresa:</t>
    </r>
  </si>
  <si>
    <t xml:space="preserve"> http://ingenioempresa.com/matriz-de-vester/</t>
  </si>
  <si>
    <t>Inestabilidad económica y laboral dentro de la organización.</t>
  </si>
  <si>
    <t>Objeto social</t>
  </si>
  <si>
    <t>Amar es Más desarrolla actividades en procura del bienestar común, la protección del territorio, la conservación de la diversidad biológica y cultural, la difusión de los saberes tradicionales y la superación de todas las formas de violencia. </t>
  </si>
  <si>
    <t>Misión</t>
  </si>
  <si>
    <t>Amar Es Más es una organización sin ánimo de lucro que propende por la transformación social y ambiental para la superación de todas las formas de violencia en el departamento del Quindío y su región circundante, mediante la promoción del diálogo intercultural, el cuidado y el autogobierno.</t>
  </si>
  <si>
    <t>Desarrollamos proyectos jurídicos, educativos y comunicativos para asumir las problemáticas de manera crítica y proactiva, a través de la articulación con comunidades campesinas, indígenas y urbano- populares.</t>
  </si>
  <si>
    <t>Visión</t>
  </si>
  <si>
    <t>Para el 2025, Amar Es Más será un núcleo articulador de procesos sociales, líder en educación popular en el Quindío, habrá desarrollado proyectos orientados a la protección del territorio, con estrategias comunicativas consolidadas y alta capacidad de gestión.</t>
  </si>
  <si>
    <t xml:space="preserve">ARBÓL DE PROBLEMAS AMAR ES MAS
</t>
  </si>
  <si>
    <t>Matriz Vester Plantilla- AMAR ES MAS</t>
  </si>
  <si>
    <t>P11</t>
  </si>
  <si>
    <t>P12</t>
  </si>
  <si>
    <t>P13</t>
  </si>
  <si>
    <t>P14</t>
  </si>
  <si>
    <t>Innovación en experiencias turísticas</t>
  </si>
  <si>
    <t>Gestión financiera y control de costos</t>
  </si>
  <si>
    <t>Seguridad y percepción de riesgo</t>
  </si>
  <si>
    <t>Buena calidad en el servicio al cliente</t>
  </si>
  <si>
    <t>Corrrecta capacitación y motivación del personal</t>
  </si>
  <si>
    <t>Buen estado de las atracciones</t>
  </si>
  <si>
    <t>Buenas estrategias de marketing y promoción</t>
  </si>
  <si>
    <t>Optima infraestructura y accesibilidad dentro del parque</t>
  </si>
  <si>
    <t>Buena gestión ambiental y correcto manejo de residuos</t>
  </si>
  <si>
    <t>Alto flujo de turistas nacionales e internacionales</t>
  </si>
  <si>
    <t>Alta competitividad frete a otros parques temáticos</t>
  </si>
  <si>
    <t>Buen apoyo institucional y políticas de turismo</t>
  </si>
  <si>
    <t>Alto estrato socioeconómico del visitante promedio</t>
  </si>
  <si>
    <t>Aumento en tendencias del turismo sostenible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</si>
</sst>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Gisha"/>
      <family val="2"/>
    </font>
    <font>
      <b/>
      <sz val="16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3"/>
      <name val="Gisha"/>
      <family val="2"/>
    </font>
    <font>
      <sz val="11"/>
      <color theme="3"/>
      <name val="Calibri"/>
      <family val="2"/>
      <scheme val="minor"/>
    </font>
    <font>
      <b/>
      <sz val="12"/>
      <color theme="3"/>
      <name val="Arial"/>
      <family val="2"/>
    </font>
    <font>
      <b/>
      <sz val="11"/>
      <color theme="3"/>
      <name val="Century Gothic"/>
      <family val="2"/>
    </font>
    <font>
      <b/>
      <sz val="10"/>
      <color theme="3"/>
      <name val="Gisha"/>
      <family val="2"/>
    </font>
    <font>
      <sz val="10"/>
      <color theme="3"/>
      <name val="Arial"/>
      <family val="2"/>
    </font>
    <font>
      <sz val="12"/>
      <color theme="3"/>
      <name val="Arial"/>
      <family val="2"/>
    </font>
    <font>
      <b/>
      <sz val="12"/>
      <color theme="3"/>
      <name val="Times New Roman"/>
      <family val="1"/>
    </font>
    <font>
      <sz val="12"/>
      <color theme="3"/>
      <name val="Times New Roman"/>
      <family val="1"/>
    </font>
    <font>
      <sz val="11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4" borderId="1" xfId="0" applyFill="1" applyBorder="1"/>
    <xf numFmtId="0" fontId="7" fillId="0" borderId="0" xfId="1"/>
    <xf numFmtId="0" fontId="6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9" fillId="0" borderId="0" xfId="0" applyFont="1"/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left" vertical="center" indent="1"/>
    </xf>
    <xf numFmtId="0" fontId="7" fillId="0" borderId="0" xfId="1" applyAlignment="1">
      <alignment horizontal="left"/>
    </xf>
    <xf numFmtId="0" fontId="0" fillId="0" borderId="0" xfId="0" applyAlignment="1">
      <alignment horizontal="left" wrapText="1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'Matriz y gráfico'!$A$9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gráfico'!$Q$9</c:f>
              <c:numCache>
                <c:formatCode>General</c:formatCode>
                <c:ptCount val="1"/>
                <c:pt idx="0">
                  <c:v>6</c:v>
                </c:pt>
              </c:numCache>
            </c:numRef>
          </c:xVal>
          <c:yVal>
            <c:numRef>
              <c:f>'Matriz y gráfico'!$C$23</c:f>
              <c:numCache>
                <c:formatCode>General</c:formatCode>
                <c:ptCount val="1"/>
                <c:pt idx="0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9-4A49-8146-654BBD047A7F}"/>
            </c:ext>
          </c:extLst>
        </c:ser>
        <c:ser>
          <c:idx val="1"/>
          <c:order val="1"/>
          <c:tx>
            <c:strRef>
              <c:f>'Matriz y gráfico'!$A$10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DD0-41EF-87DA-B7F58B316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gráfico'!$Q$10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'Matriz y gráfico'!$D$23</c:f>
              <c:numCache>
                <c:formatCode>General</c:formatCode>
                <c:ptCount val="1"/>
                <c:pt idx="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9-4A49-8146-654BBD047A7F}"/>
            </c:ext>
          </c:extLst>
        </c:ser>
        <c:ser>
          <c:idx val="2"/>
          <c:order val="2"/>
          <c:tx>
            <c:strRef>
              <c:f>'Matriz y gráfico'!$A$11</c:f>
              <c:strCache>
                <c:ptCount val="1"/>
                <c:pt idx="0">
                  <c:v>P3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gráfico'!$Q$11</c:f>
              <c:numCache>
                <c:formatCode>General</c:formatCode>
                <c:ptCount val="1"/>
                <c:pt idx="0">
                  <c:v>21</c:v>
                </c:pt>
              </c:numCache>
            </c:numRef>
          </c:xVal>
          <c:yVal>
            <c:numRef>
              <c:f>'Matriz y gráfico'!$E$23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E9-4A49-8146-654BBD047A7F}"/>
            </c:ext>
          </c:extLst>
        </c:ser>
        <c:ser>
          <c:idx val="3"/>
          <c:order val="3"/>
          <c:tx>
            <c:strRef>
              <c:f>'Matriz y gráfico'!$A$12</c:f>
              <c:strCache>
                <c:ptCount val="1"/>
                <c:pt idx="0">
                  <c:v>P4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gráfico'!$Q$12</c:f>
              <c:numCache>
                <c:formatCode>General</c:formatCode>
                <c:ptCount val="1"/>
                <c:pt idx="0">
                  <c:v>31</c:v>
                </c:pt>
              </c:numCache>
            </c:numRef>
          </c:xVal>
          <c:yVal>
            <c:numRef>
              <c:f>'Matriz y gráfico'!$F$23</c:f>
              <c:numCache>
                <c:formatCode>General</c:formatCode>
                <c:ptCount val="1"/>
                <c:pt idx="0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E9-4A49-8146-654BBD047A7F}"/>
            </c:ext>
          </c:extLst>
        </c:ser>
        <c:ser>
          <c:idx val="4"/>
          <c:order val="4"/>
          <c:tx>
            <c:strRef>
              <c:f>'Matriz y gráfico'!$A$13</c:f>
              <c:strCache>
                <c:ptCount val="1"/>
                <c:pt idx="0">
                  <c:v>P5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0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DD0-41EF-87DA-B7F58B316A5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gráfico'!$Q$13</c:f>
              <c:numCache>
                <c:formatCode>General</c:formatCode>
                <c:ptCount val="1"/>
                <c:pt idx="0">
                  <c:v>22</c:v>
                </c:pt>
              </c:numCache>
            </c:numRef>
          </c:xVal>
          <c:yVal>
            <c:numRef>
              <c:f>'Matriz y gráfico'!$G$23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E9-4A49-8146-654BBD047A7F}"/>
            </c:ext>
          </c:extLst>
        </c:ser>
        <c:ser>
          <c:idx val="5"/>
          <c:order val="5"/>
          <c:tx>
            <c:strRef>
              <c:f>'Matriz y gráfico'!$A$14</c:f>
              <c:strCache>
                <c:ptCount val="1"/>
                <c:pt idx="0">
                  <c:v>P6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gráfico'!$Q$14</c:f>
              <c:numCache>
                <c:formatCode>General</c:formatCode>
                <c:ptCount val="1"/>
                <c:pt idx="0">
                  <c:v>13</c:v>
                </c:pt>
              </c:numCache>
            </c:numRef>
          </c:xVal>
          <c:yVal>
            <c:numRef>
              <c:f>'Matriz y gráfico'!$H$23</c:f>
              <c:numCache>
                <c:formatCode>General</c:formatCode>
                <c:ptCount val="1"/>
                <c:pt idx="0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2E9-4A49-8146-654BBD047A7F}"/>
            </c:ext>
          </c:extLst>
        </c:ser>
        <c:ser>
          <c:idx val="6"/>
          <c:order val="6"/>
          <c:tx>
            <c:strRef>
              <c:f>'Matriz y gráfico'!$A$15</c:f>
              <c:strCache>
                <c:ptCount val="1"/>
                <c:pt idx="0">
                  <c:v>P7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'Matriz y gráfico'!$I$23</c:f>
              <c:numCache>
                <c:formatCode>General</c:formatCode>
                <c:ptCount val="1"/>
                <c:pt idx="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2E9-4A49-8146-654BBD047A7F}"/>
            </c:ext>
          </c:extLst>
        </c:ser>
        <c:ser>
          <c:idx val="9"/>
          <c:order val="7"/>
          <c:tx>
            <c:strRef>
              <c:f>'Matriz y gráfico'!$A$16</c:f>
              <c:strCache>
                <c:ptCount val="1"/>
                <c:pt idx="0">
                  <c:v>P8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gráfico'!$Q$16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'Matriz y gráfico'!$J$23</c:f>
              <c:numCache>
                <c:formatCode>General</c:formatCode>
                <c:ptCount val="1"/>
                <c:pt idx="0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DD0-41EF-87DA-B7F58B316A58}"/>
            </c:ext>
          </c:extLst>
        </c:ser>
        <c:ser>
          <c:idx val="10"/>
          <c:order val="8"/>
          <c:tx>
            <c:strRef>
              <c:f>'Matriz y gráfico'!$A$17</c:f>
              <c:strCache>
                <c:ptCount val="1"/>
                <c:pt idx="0">
                  <c:v>P9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gráfico'!$Q$17</c:f>
              <c:numCache>
                <c:formatCode>General</c:formatCode>
                <c:ptCount val="1"/>
                <c:pt idx="0">
                  <c:v>19</c:v>
                </c:pt>
              </c:numCache>
            </c:numRef>
          </c:xVal>
          <c:yVal>
            <c:numRef>
              <c:f>'Matriz y gráfico'!$M$23</c:f>
              <c:numCache>
                <c:formatCode>General</c:formatCode>
                <c:ptCount val="1"/>
                <c:pt idx="0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D0-41EF-87DA-B7F58B316A58}"/>
            </c:ext>
          </c:extLst>
        </c:ser>
        <c:ser>
          <c:idx val="11"/>
          <c:order val="9"/>
          <c:tx>
            <c:strRef>
              <c:f>'Matriz y gráfico'!$A$22</c:f>
              <c:strCache>
                <c:ptCount val="1"/>
                <c:pt idx="0">
                  <c:v>P14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'Matriz y gráfico'!$Q$22</c:f>
              <c:numCache>
                <c:formatCode>General</c:formatCode>
                <c:ptCount val="1"/>
                <c:pt idx="0">
                  <c:v>12</c:v>
                </c:pt>
              </c:numCache>
            </c:numRef>
          </c:xVal>
          <c:yVal>
            <c:numRef>
              <c:f>'Matriz y gráfico'!#REF!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D0-41EF-87DA-B7F58B316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19840"/>
        <c:axId val="1729425824"/>
      </c:scatterChart>
      <c:scatterChart>
        <c:scatterStyle val="smoothMarker"/>
        <c:varyColors val="0"/>
        <c:ser>
          <c:idx val="7"/>
          <c:order val="10"/>
          <c:tx>
            <c:strRef>
              <c:f>Parámetros!$A$2</c:f>
              <c:strCache>
                <c:ptCount val="1"/>
                <c:pt idx="0">
                  <c:v>Linea horizontal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Parámetros!$C$2:$C$3</c:f>
              <c:numCache>
                <c:formatCode>General</c:formatCode>
                <c:ptCount val="2"/>
                <c:pt idx="0">
                  <c:v>0</c:v>
                </c:pt>
                <c:pt idx="1">
                  <c:v>31</c:v>
                </c:pt>
              </c:numCache>
            </c:numRef>
          </c:xVal>
          <c:yVal>
            <c:numRef>
              <c:f>Parámetros!$D$2:$D$3</c:f>
              <c:numCache>
                <c:formatCode>General</c:formatCode>
                <c:ptCount val="2"/>
                <c:pt idx="0">
                  <c:v>15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2E9-4A49-8146-654BBD047A7F}"/>
            </c:ext>
          </c:extLst>
        </c:ser>
        <c:ser>
          <c:idx val="8"/>
          <c:order val="11"/>
          <c:tx>
            <c:strRef>
              <c:f>Parámetros!$A$4</c:f>
              <c:strCache>
                <c:ptCount val="1"/>
                <c:pt idx="0">
                  <c:v>Linea vertical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Parámetros!$C$4:$C$5</c:f>
              <c:numCache>
                <c:formatCode>General</c:formatCode>
                <c:ptCount val="2"/>
                <c:pt idx="0">
                  <c:v>15.5</c:v>
                </c:pt>
                <c:pt idx="1">
                  <c:v>15.5</c:v>
                </c:pt>
              </c:numCache>
            </c:numRef>
          </c:xVal>
          <c:yVal>
            <c:numRef>
              <c:f>Parámetros!$D$4:$D$5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2E9-4A49-8146-654BBD047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9419840"/>
        <c:axId val="1729425824"/>
      </c:scatterChart>
      <c:valAx>
        <c:axId val="1729419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Influencia/Causalidad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29425824"/>
        <c:crosses val="autoZero"/>
        <c:crossBetween val="midCat"/>
        <c:majorUnit val="1"/>
        <c:minorUnit val="1"/>
      </c:valAx>
      <c:valAx>
        <c:axId val="172942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Dependencia/Consecuencia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729419840"/>
        <c:crosses val="autoZero"/>
        <c:crossBetween val="midCat"/>
        <c:majorUnit val="1"/>
        <c:minorUnit val="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8657</xdr:rowOff>
    </xdr:from>
    <xdr:to>
      <xdr:col>16</xdr:col>
      <xdr:colOff>822614</xdr:colOff>
      <xdr:row>68</xdr:row>
      <xdr:rowOff>142874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0.68546</cdr:x>
      <cdr:y>0.7307</cdr:y>
    </cdr:from>
    <cdr:to>
      <cdr:x>0.7848</cdr:x>
      <cdr:y>0.80412</cdr:y>
    </cdr:to>
    <cdr:sp macro="" textlink="">
      <cdr:nvSpPr>
        <cdr:cNvPr id="2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4664092" y="2068362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ACTIVOS</a:t>
          </a:r>
        </a:p>
      </cdr:txBody>
    </cdr:sp>
  </cdr:relSizeAnchor>
  <cdr:relSizeAnchor xmlns:cdr="http://schemas.openxmlformats.org/drawingml/2006/chartDrawing">
    <cdr:from>
      <cdr:x>0.08773</cdr:x>
      <cdr:y>0.73743</cdr:y>
    </cdr:from>
    <cdr:to>
      <cdr:x>0.21698</cdr:x>
      <cdr:y>0.81126</cdr:y>
    </cdr:to>
    <cdr:sp macro="" textlink="">
      <cdr:nvSpPr>
        <cdr:cNvPr id="3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596917" y="2087412"/>
          <a:ext cx="879458" cy="20898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INDIFERENTES</a:t>
          </a:r>
        </a:p>
      </cdr:txBody>
    </cdr:sp>
  </cdr:relSizeAnchor>
  <cdr:relSizeAnchor xmlns:cdr="http://schemas.openxmlformats.org/drawingml/2006/chartDrawing">
    <cdr:from>
      <cdr:x>0.08026</cdr:x>
      <cdr:y>0.0516</cdr:y>
    </cdr:from>
    <cdr:to>
      <cdr:x>0.1796</cdr:x>
      <cdr:y>0.12502</cdr:y>
    </cdr:to>
    <cdr:sp macro="" textlink="">
      <cdr:nvSpPr>
        <cdr:cNvPr id="4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546100" y="146050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PASIVOS</a:t>
          </a:r>
        </a:p>
      </cdr:txBody>
    </cdr:sp>
  </cdr:relSizeAnchor>
  <cdr:relSizeAnchor xmlns:cdr="http://schemas.openxmlformats.org/drawingml/2006/chartDrawing">
    <cdr:from>
      <cdr:x>0.68219</cdr:x>
      <cdr:y>0.05496</cdr:y>
    </cdr:from>
    <cdr:to>
      <cdr:x>0.78153</cdr:x>
      <cdr:y>0.12838</cdr:y>
    </cdr:to>
    <cdr:sp macro="" textlink="">
      <cdr:nvSpPr>
        <cdr:cNvPr id="5" name="TextBox 7">
          <a:extLst xmlns:a="http://schemas.openxmlformats.org/drawingml/2006/main">
            <a:ext uri="{FF2B5EF4-FFF2-40B4-BE49-F238E27FC236}">
              <a16:creationId xmlns:a16="http://schemas.microsoft.com/office/drawing/2014/main" id="{5AA1494B-D101-41EC-9C40-ABDECEA8884C}"/>
            </a:ext>
          </a:extLst>
        </cdr:cNvPr>
        <cdr:cNvSpPr txBox="1"/>
      </cdr:nvSpPr>
      <cdr:spPr>
        <a:xfrm xmlns:a="http://schemas.openxmlformats.org/drawingml/2006/main">
          <a:off x="4641850" y="155575"/>
          <a:ext cx="675941" cy="20782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s-CO" sz="1100" b="1"/>
            <a:t>CRÍTICOS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133348</xdr:colOff>
      <xdr:row>0</xdr:row>
      <xdr:rowOff>47624</xdr:rowOff>
    </xdr:from>
    <xdr:to>
      <xdr:col>7</xdr:col>
      <xdr:colOff>400049</xdr:colOff>
      <xdr:row>5</xdr:row>
      <xdr:rowOff>66675</xdr:rowOff>
    </xdr:to>
    <xdr:sp macro="" textlink="">
      <xdr:nvSpPr>
        <xdr:cNvPr id="2" name="Llamada ovalada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571748" y="47624"/>
          <a:ext cx="2095501" cy="971551"/>
        </a:xfrm>
        <a:prstGeom prst="wedgeEllipseCallout">
          <a:avLst>
            <a:gd name="adj1" fmla="val -53106"/>
            <a:gd name="adj2" fmla="val 32593"/>
          </a:avLst>
        </a:prstGeom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CO" sz="1100"/>
            <a:t>El</a:t>
          </a:r>
          <a:r>
            <a:rPr lang="es-CO" sz="1100" baseline="0"/>
            <a:t> cálculo se hace automáticamente. No modificar.</a:t>
          </a:r>
          <a:endParaRPr lang="es-CO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137160</xdr:rowOff>
    </xdr:from>
    <xdr:to>
      <xdr:col>5</xdr:col>
      <xdr:colOff>7620</xdr:colOff>
      <xdr:row>19</xdr:row>
      <xdr:rowOff>15240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377440" y="2880360"/>
          <a:ext cx="1592580" cy="6096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274320</xdr:colOff>
      <xdr:row>15</xdr:row>
      <xdr:rowOff>129540</xdr:rowOff>
    </xdr:from>
    <xdr:to>
      <xdr:col>7</xdr:col>
      <xdr:colOff>281940</xdr:colOff>
      <xdr:row>19</xdr:row>
      <xdr:rowOff>7620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4236720" y="2872740"/>
          <a:ext cx="1592580" cy="6096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533400</xdr:colOff>
      <xdr:row>15</xdr:row>
      <xdr:rowOff>129540</xdr:rowOff>
    </xdr:from>
    <xdr:to>
      <xdr:col>9</xdr:col>
      <xdr:colOff>541020</xdr:colOff>
      <xdr:row>19</xdr:row>
      <xdr:rowOff>7620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6080760" y="2872740"/>
          <a:ext cx="1592580" cy="6096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60960</xdr:colOff>
      <xdr:row>15</xdr:row>
      <xdr:rowOff>68580</xdr:rowOff>
    </xdr:from>
    <xdr:to>
      <xdr:col>12</xdr:col>
      <xdr:colOff>68580</xdr:colOff>
      <xdr:row>18</xdr:row>
      <xdr:rowOff>129540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7985760" y="2811780"/>
          <a:ext cx="1592580" cy="6096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571500</xdr:colOff>
      <xdr:row>20</xdr:row>
      <xdr:rowOff>76200</xdr:rowOff>
    </xdr:from>
    <xdr:to>
      <xdr:col>9</xdr:col>
      <xdr:colOff>99060</xdr:colOff>
      <xdr:row>24</xdr:row>
      <xdr:rowOff>53340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4533900" y="3733800"/>
          <a:ext cx="2697480" cy="70866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30480</xdr:colOff>
      <xdr:row>27</xdr:row>
      <xdr:rowOff>99060</xdr:rowOff>
    </xdr:from>
    <xdr:to>
      <xdr:col>5</xdr:col>
      <xdr:colOff>68580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7920" y="5036820"/>
          <a:ext cx="1623060" cy="419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373380</xdr:colOff>
      <xdr:row>27</xdr:row>
      <xdr:rowOff>83820</xdr:rowOff>
    </xdr:from>
    <xdr:to>
      <xdr:col>7</xdr:col>
      <xdr:colOff>411480</xdr:colOff>
      <xdr:row>29</xdr:row>
      <xdr:rowOff>137160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4335780" y="5021580"/>
          <a:ext cx="1623060" cy="419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624840</xdr:colOff>
      <xdr:row>27</xdr:row>
      <xdr:rowOff>83820</xdr:rowOff>
    </xdr:from>
    <xdr:to>
      <xdr:col>9</xdr:col>
      <xdr:colOff>662940</xdr:colOff>
      <xdr:row>29</xdr:row>
      <xdr:rowOff>137160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6172200" y="5021580"/>
          <a:ext cx="1623060" cy="419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91440</xdr:colOff>
      <xdr:row>27</xdr:row>
      <xdr:rowOff>38100</xdr:rowOff>
    </xdr:from>
    <xdr:to>
      <xdr:col>12</xdr:col>
      <xdr:colOff>129540</xdr:colOff>
      <xdr:row>29</xdr:row>
      <xdr:rowOff>91440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016240" y="4975860"/>
          <a:ext cx="1623060" cy="4191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45720</xdr:colOff>
      <xdr:row>25</xdr:row>
      <xdr:rowOff>167640</xdr:rowOff>
    </xdr:from>
    <xdr:to>
      <xdr:col>4</xdr:col>
      <xdr:colOff>49530</xdr:colOff>
      <xdr:row>27</xdr:row>
      <xdr:rowOff>99060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CxnSpPr>
          <a:stCxn id="7" idx="0"/>
        </xdr:cNvCxnSpPr>
      </xdr:nvCxnSpPr>
      <xdr:spPr>
        <a:xfrm flipH="1" flipV="1">
          <a:off x="3215640" y="4739640"/>
          <a:ext cx="3810" cy="29718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411480</xdr:colOff>
      <xdr:row>25</xdr:row>
      <xdr:rowOff>144780</xdr:rowOff>
    </xdr:from>
    <xdr:to>
      <xdr:col>6</xdr:col>
      <xdr:colOff>415290</xdr:colOff>
      <xdr:row>27</xdr:row>
      <xdr:rowOff>76200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CxnSpPr/>
      </xdr:nvCxnSpPr>
      <xdr:spPr>
        <a:xfrm flipH="1" flipV="1">
          <a:off x="5166360" y="4716780"/>
          <a:ext cx="3810" cy="29718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640080</xdr:colOff>
      <xdr:row>25</xdr:row>
      <xdr:rowOff>144780</xdr:rowOff>
    </xdr:from>
    <xdr:to>
      <xdr:col>8</xdr:col>
      <xdr:colOff>643890</xdr:colOff>
      <xdr:row>27</xdr:row>
      <xdr:rowOff>76200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CxnSpPr/>
      </xdr:nvCxnSpPr>
      <xdr:spPr>
        <a:xfrm flipH="1" flipV="1">
          <a:off x="6979920" y="4716780"/>
          <a:ext cx="3810" cy="29718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7620</xdr:colOff>
      <xdr:row>25</xdr:row>
      <xdr:rowOff>121920</xdr:rowOff>
    </xdr:from>
    <xdr:to>
      <xdr:col>11</xdr:col>
      <xdr:colOff>11430</xdr:colOff>
      <xdr:row>27</xdr:row>
      <xdr:rowOff>53340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CxnSpPr/>
      </xdr:nvCxnSpPr>
      <xdr:spPr>
        <a:xfrm flipH="1" flipV="1">
          <a:off x="8724900" y="4693920"/>
          <a:ext cx="3810" cy="297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30480</xdr:colOff>
      <xdr:row>25</xdr:row>
      <xdr:rowOff>137160</xdr:rowOff>
    </xdr:from>
    <xdr:to>
      <xdr:col>11</xdr:col>
      <xdr:colOff>7620</xdr:colOff>
      <xdr:row>25</xdr:row>
      <xdr:rowOff>160020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CxnSpPr/>
      </xdr:nvCxnSpPr>
      <xdr:spPr>
        <a:xfrm flipV="1">
          <a:off x="3200400" y="4709160"/>
          <a:ext cx="5524500" cy="2286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312420</xdr:colOff>
      <xdr:row>24</xdr:row>
      <xdr:rowOff>45720</xdr:rowOff>
    </xdr:from>
    <xdr:to>
      <xdr:col>7</xdr:col>
      <xdr:colOff>316230</xdr:colOff>
      <xdr:row>25</xdr:row>
      <xdr:rowOff>160020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CxnSpPr/>
      </xdr:nvCxnSpPr>
      <xdr:spPr>
        <a:xfrm flipH="1" flipV="1">
          <a:off x="5859780" y="4434840"/>
          <a:ext cx="3810" cy="297180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99060</xdr:colOff>
      <xdr:row>18</xdr:row>
      <xdr:rowOff>129540</xdr:rowOff>
    </xdr:from>
    <xdr:to>
      <xdr:col>11</xdr:col>
      <xdr:colOff>64770</xdr:colOff>
      <xdr:row>22</xdr:row>
      <xdr:rowOff>64770</xdr:rowOff>
    </xdr:to>
    <xdr:cxnSp macro="">
      <xdr:nvCxnSpPr>
        <xdr:cNvPr id="17" name="Conector angular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stCxn id="6" idx="3"/>
          <a:endCxn id="5" idx="2"/>
        </xdr:cNvCxnSpPr>
      </xdr:nvCxnSpPr>
      <xdr:spPr>
        <a:xfrm flipV="1">
          <a:off x="7231380" y="3421380"/>
          <a:ext cx="1550670" cy="666750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537210</xdr:colOff>
      <xdr:row>19</xdr:row>
      <xdr:rowOff>7620</xdr:rowOff>
    </xdr:from>
    <xdr:to>
      <xdr:col>8</xdr:col>
      <xdr:colOff>685800</xdr:colOff>
      <xdr:row>20</xdr:row>
      <xdr:rowOff>38100</xdr:rowOff>
    </xdr:to>
    <xdr:cxnSp macro="">
      <xdr:nvCxnSpPr>
        <xdr:cNvPr id="18" name="Conector angular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CxnSpPr>
          <a:endCxn id="4" idx="2"/>
        </xdr:cNvCxnSpPr>
      </xdr:nvCxnSpPr>
      <xdr:spPr>
        <a:xfrm rot="16200000" flipV="1">
          <a:off x="6844665" y="3514725"/>
          <a:ext cx="213360" cy="148590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502920</xdr:colOff>
      <xdr:row>18</xdr:row>
      <xdr:rowOff>160020</xdr:rowOff>
    </xdr:from>
    <xdr:to>
      <xdr:col>6</xdr:col>
      <xdr:colOff>541020</xdr:colOff>
      <xdr:row>20</xdr:row>
      <xdr:rowOff>38100</xdr:rowOff>
    </xdr:to>
    <xdr:cxnSp macro="">
      <xdr:nvCxnSpPr>
        <xdr:cNvPr id="19" name="Conector angular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CxnSpPr/>
      </xdr:nvCxnSpPr>
      <xdr:spPr>
        <a:xfrm rot="5400000" flipH="1" flipV="1">
          <a:off x="5154930" y="3554730"/>
          <a:ext cx="243840" cy="38100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525780</xdr:colOff>
      <xdr:row>19</xdr:row>
      <xdr:rowOff>76200</xdr:rowOff>
    </xdr:from>
    <xdr:to>
      <xdr:col>5</xdr:col>
      <xdr:colOff>571500</xdr:colOff>
      <xdr:row>22</xdr:row>
      <xdr:rowOff>64770</xdr:rowOff>
    </xdr:to>
    <xdr:cxnSp macro="">
      <xdr:nvCxnSpPr>
        <xdr:cNvPr id="20" name="Conector angular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CxnSpPr>
          <a:stCxn id="6" idx="1"/>
        </xdr:cNvCxnSpPr>
      </xdr:nvCxnSpPr>
      <xdr:spPr>
        <a:xfrm rot="10800000">
          <a:off x="2903220" y="3550920"/>
          <a:ext cx="1630680" cy="537210"/>
        </a:xfrm>
        <a:prstGeom prst="bentConnector3">
          <a:avLst>
            <a:gd name="adj1" fmla="val 10046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68580</xdr:colOff>
      <xdr:row>0</xdr:row>
      <xdr:rowOff>0</xdr:rowOff>
    </xdr:from>
    <xdr:ext cx="9593580" cy="1333758"/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" y="0"/>
          <a:ext cx="9593580" cy="1333758"/>
        </a:xfrm>
        <a:prstGeom prst="rect">
          <a:avLst/>
        </a:prstGeom>
      </xdr:spPr>
    </xdr:pic>
    <xdr:clientData/>
  </xdr:oneCellAnchor>
  <xdr:oneCellAnchor>
    <xdr:from>
      <xdr:col>12</xdr:col>
      <xdr:colOff>662940</xdr:colOff>
      <xdr:row>0</xdr:row>
      <xdr:rowOff>0</xdr:rowOff>
    </xdr:from>
    <xdr:ext cx="6988146" cy="5197290"/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72700" y="0"/>
          <a:ext cx="6988146" cy="519729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NDRA%20PARRA/Downloads/Plantilla-matriz-de-vester-TDO%20DIA-%20automatizada%20%202023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triz y gráfico"/>
      <sheetName val="Parámetros"/>
    </sheetNames>
    <sheetDataSet>
      <sheetData sheetId="0">
        <row r="9">
          <cell r="K9">
            <v>0</v>
          </cell>
        </row>
        <row r="10">
          <cell r="K10">
            <v>0</v>
          </cell>
        </row>
        <row r="11">
          <cell r="K11">
            <v>0</v>
          </cell>
        </row>
        <row r="12">
          <cell r="K12">
            <v>0</v>
          </cell>
        </row>
        <row r="13">
          <cell r="K13">
            <v>0</v>
          </cell>
        </row>
        <row r="14">
          <cell r="K14">
            <v>0</v>
          </cell>
        </row>
        <row r="15">
          <cell r="K15">
            <v>0</v>
          </cell>
        </row>
        <row r="16">
          <cell r="K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ingenioempresa.com/matriz-de-vester/" TargetMode="External"/><Relationship Id="rId1" Type="http://schemas.openxmlformats.org/officeDocument/2006/relationships/hyperlink" Target="http://www.ingenioempresa.wordpress.com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6"/>
  <sheetViews>
    <sheetView showGridLines="0" tabSelected="1" view="pageBreakPreview" topLeftCell="A32" zoomScaleNormal="100" zoomScaleSheetLayoutView="100" workbookViewId="0">
      <selection activeCell="A8" sqref="A8:Q23"/>
    </sheetView>
  </sheetViews>
  <sheetFormatPr baseColWidth="10" defaultColWidth="9.140625" defaultRowHeight="15" x14ac:dyDescent="0.25"/>
  <cols>
    <col min="1" max="1" width="7.140625" customWidth="1"/>
    <col min="2" max="2" width="56.85546875" customWidth="1"/>
    <col min="3" max="16" width="5.28515625" customWidth="1"/>
    <col min="17" max="17" width="19.7109375" customWidth="1"/>
    <col min="18" max="20" width="10.7109375" customWidth="1"/>
  </cols>
  <sheetData>
    <row r="1" spans="1:17" ht="20.25" x14ac:dyDescent="0.25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  <c r="N1" s="32"/>
      <c r="O1" s="32"/>
      <c r="P1" s="32"/>
      <c r="Q1" s="33"/>
    </row>
    <row r="2" spans="1:17" ht="20.25" x14ac:dyDescent="0.25">
      <c r="A2" s="29" t="s">
        <v>34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  <c r="N2" s="34"/>
      <c r="O2" s="34"/>
      <c r="P2" s="34"/>
      <c r="Q2" s="35"/>
    </row>
    <row r="3" spans="1:17" ht="20.25" x14ac:dyDescent="0.25">
      <c r="A3" s="9"/>
      <c r="B3" s="9"/>
      <c r="C3" s="9"/>
      <c r="D3" s="9"/>
      <c r="E3" s="9"/>
      <c r="F3" s="9"/>
      <c r="G3" s="9"/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20.25" x14ac:dyDescent="0.25">
      <c r="A4" s="36" t="s">
        <v>1</v>
      </c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5" spans="1:17" ht="20.25" customHeight="1" x14ac:dyDescent="0.25">
      <c r="A5" s="37" t="s">
        <v>25</v>
      </c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9"/>
    </row>
    <row r="6" spans="1:17" ht="20.25" customHeight="1" x14ac:dyDescent="0.25">
      <c r="A6" s="40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2"/>
    </row>
    <row r="7" spans="1:17" ht="15" customHeight="1" x14ac:dyDescent="0.25">
      <c r="A7" s="9"/>
      <c r="B7" s="9"/>
      <c r="C7" s="9"/>
      <c r="D7" s="9"/>
      <c r="E7" s="9"/>
      <c r="F7" s="9"/>
      <c r="G7" s="11"/>
      <c r="H7" s="12"/>
      <c r="I7" s="12"/>
      <c r="J7" s="12"/>
      <c r="K7" s="12"/>
      <c r="L7" s="12"/>
      <c r="M7" s="12"/>
      <c r="N7" s="12"/>
      <c r="O7" s="12"/>
      <c r="P7" s="12"/>
      <c r="Q7" s="12"/>
    </row>
    <row r="8" spans="1:17" s="1" customFormat="1" ht="20.25" customHeight="1" x14ac:dyDescent="0.25">
      <c r="A8" s="13" t="s">
        <v>2</v>
      </c>
      <c r="B8" s="13" t="s">
        <v>3</v>
      </c>
      <c r="C8" s="2" t="s">
        <v>4</v>
      </c>
      <c r="D8" s="2" t="s">
        <v>5</v>
      </c>
      <c r="E8" s="2" t="s">
        <v>6</v>
      </c>
      <c r="F8" s="2" t="s">
        <v>7</v>
      </c>
      <c r="G8" s="2" t="s">
        <v>8</v>
      </c>
      <c r="H8" s="2" t="s">
        <v>9</v>
      </c>
      <c r="I8" s="2" t="s">
        <v>10</v>
      </c>
      <c r="J8" s="2" t="s">
        <v>18</v>
      </c>
      <c r="K8" s="2" t="s">
        <v>19</v>
      </c>
      <c r="L8" s="2" t="s">
        <v>20</v>
      </c>
      <c r="M8" s="2" t="s">
        <v>35</v>
      </c>
      <c r="N8" s="2" t="s">
        <v>36</v>
      </c>
      <c r="O8" s="2" t="s">
        <v>37</v>
      </c>
      <c r="P8" s="2" t="s">
        <v>38</v>
      </c>
      <c r="Q8" s="2" t="s">
        <v>11</v>
      </c>
    </row>
    <row r="9" spans="1:17" ht="20.100000000000001" customHeight="1" x14ac:dyDescent="0.25">
      <c r="A9" s="14" t="s">
        <v>4</v>
      </c>
      <c r="B9" s="23" t="s">
        <v>42</v>
      </c>
      <c r="C9" s="15">
        <v>0</v>
      </c>
      <c r="D9" s="14">
        <v>0</v>
      </c>
      <c r="E9" s="14">
        <v>0</v>
      </c>
      <c r="F9" s="14">
        <v>0</v>
      </c>
      <c r="G9" s="14">
        <v>2</v>
      </c>
      <c r="H9" s="14">
        <v>1</v>
      </c>
      <c r="I9" s="14">
        <v>0</v>
      </c>
      <c r="J9" s="14">
        <v>0</v>
      </c>
      <c r="K9" s="14">
        <v>0</v>
      </c>
      <c r="L9" s="14">
        <v>2</v>
      </c>
      <c r="M9" s="14">
        <v>0</v>
      </c>
      <c r="N9" s="14">
        <v>1</v>
      </c>
      <c r="O9" s="14">
        <v>0</v>
      </c>
      <c r="P9" s="14">
        <v>0</v>
      </c>
      <c r="Q9" s="15">
        <f t="shared" ref="Q9:Q22" si="0">SUM(C9:P9)</f>
        <v>6</v>
      </c>
    </row>
    <row r="10" spans="1:17" ht="20.100000000000001" customHeight="1" x14ac:dyDescent="0.25">
      <c r="A10" s="14" t="s">
        <v>5</v>
      </c>
      <c r="B10" s="23" t="s">
        <v>43</v>
      </c>
      <c r="C10" s="14">
        <v>3</v>
      </c>
      <c r="D10" s="15">
        <v>0</v>
      </c>
      <c r="E10" s="14">
        <v>2</v>
      </c>
      <c r="F10" s="14">
        <v>2</v>
      </c>
      <c r="G10" s="14">
        <v>0</v>
      </c>
      <c r="H10" s="14">
        <v>0</v>
      </c>
      <c r="I10" s="14">
        <v>0</v>
      </c>
      <c r="J10" s="14">
        <v>0</v>
      </c>
      <c r="K10" s="14">
        <v>1</v>
      </c>
      <c r="L10" s="14">
        <v>1</v>
      </c>
      <c r="M10" s="14">
        <v>0</v>
      </c>
      <c r="N10" s="14">
        <v>2</v>
      </c>
      <c r="O10" s="14">
        <v>2</v>
      </c>
      <c r="P10" s="14">
        <v>0</v>
      </c>
      <c r="Q10" s="15">
        <f t="shared" si="0"/>
        <v>13</v>
      </c>
    </row>
    <row r="11" spans="1:17" ht="20.100000000000001" customHeight="1" x14ac:dyDescent="0.25">
      <c r="A11" s="14" t="s">
        <v>6</v>
      </c>
      <c r="B11" s="23" t="s">
        <v>44</v>
      </c>
      <c r="C11" s="14">
        <v>3</v>
      </c>
      <c r="D11" s="14">
        <v>0</v>
      </c>
      <c r="E11" s="15">
        <v>0</v>
      </c>
      <c r="F11" s="14">
        <v>2</v>
      </c>
      <c r="G11" s="14">
        <v>3</v>
      </c>
      <c r="H11" s="14">
        <v>1</v>
      </c>
      <c r="I11" s="14">
        <v>3</v>
      </c>
      <c r="J11" s="14">
        <v>0</v>
      </c>
      <c r="K11" s="14">
        <v>2</v>
      </c>
      <c r="L11" s="14">
        <v>3</v>
      </c>
      <c r="M11" s="14">
        <v>1</v>
      </c>
      <c r="N11" s="14">
        <v>1</v>
      </c>
      <c r="O11" s="14">
        <v>2</v>
      </c>
      <c r="P11" s="14">
        <v>0</v>
      </c>
      <c r="Q11" s="15">
        <f t="shared" si="0"/>
        <v>21</v>
      </c>
    </row>
    <row r="12" spans="1:17" ht="20.100000000000001" customHeight="1" x14ac:dyDescent="0.25">
      <c r="A12" s="14" t="s">
        <v>7</v>
      </c>
      <c r="B12" s="23" t="s">
        <v>39</v>
      </c>
      <c r="C12" s="14">
        <v>3</v>
      </c>
      <c r="D12" s="14">
        <v>2</v>
      </c>
      <c r="E12" s="14">
        <v>1</v>
      </c>
      <c r="F12" s="15">
        <v>0</v>
      </c>
      <c r="G12" s="14">
        <v>2</v>
      </c>
      <c r="H12" s="14">
        <v>2</v>
      </c>
      <c r="I12" s="14">
        <v>2</v>
      </c>
      <c r="J12" s="14">
        <v>2</v>
      </c>
      <c r="K12" s="14">
        <v>3</v>
      </c>
      <c r="L12" s="14">
        <v>3</v>
      </c>
      <c r="M12" s="14">
        <v>2</v>
      </c>
      <c r="N12" s="14">
        <v>3</v>
      </c>
      <c r="O12" s="14">
        <v>3</v>
      </c>
      <c r="P12" s="14">
        <v>3</v>
      </c>
      <c r="Q12" s="15">
        <f t="shared" si="0"/>
        <v>31</v>
      </c>
    </row>
    <row r="13" spans="1:17" ht="20.100000000000001" customHeight="1" x14ac:dyDescent="0.25">
      <c r="A13" s="14" t="s">
        <v>8</v>
      </c>
      <c r="B13" s="23" t="s">
        <v>40</v>
      </c>
      <c r="C13" s="14">
        <v>0</v>
      </c>
      <c r="D13" s="14">
        <v>1</v>
      </c>
      <c r="E13" s="14">
        <v>3</v>
      </c>
      <c r="F13" s="14">
        <v>3</v>
      </c>
      <c r="G13" s="15">
        <v>0</v>
      </c>
      <c r="H13" s="14">
        <v>3</v>
      </c>
      <c r="I13" s="14">
        <v>3</v>
      </c>
      <c r="J13" s="14">
        <v>1</v>
      </c>
      <c r="K13" s="14">
        <v>1</v>
      </c>
      <c r="L13" s="14">
        <v>3</v>
      </c>
      <c r="M13" s="14">
        <v>0</v>
      </c>
      <c r="N13" s="14">
        <v>2</v>
      </c>
      <c r="O13" s="14">
        <v>1</v>
      </c>
      <c r="P13" s="14">
        <v>1</v>
      </c>
      <c r="Q13" s="15">
        <f t="shared" si="0"/>
        <v>22</v>
      </c>
    </row>
    <row r="14" spans="1:17" ht="20.100000000000001" customHeight="1" x14ac:dyDescent="0.25">
      <c r="A14" s="14" t="s">
        <v>9</v>
      </c>
      <c r="B14" s="23" t="s">
        <v>45</v>
      </c>
      <c r="C14" s="14">
        <v>0</v>
      </c>
      <c r="D14" s="14">
        <v>0</v>
      </c>
      <c r="E14" s="14">
        <v>0</v>
      </c>
      <c r="F14" s="14">
        <v>0</v>
      </c>
      <c r="G14" s="14">
        <v>2</v>
      </c>
      <c r="H14" s="15">
        <v>0</v>
      </c>
      <c r="I14" s="14">
        <v>0</v>
      </c>
      <c r="J14" s="14">
        <v>0</v>
      </c>
      <c r="K14" s="14">
        <v>3</v>
      </c>
      <c r="L14" s="14">
        <v>3</v>
      </c>
      <c r="M14" s="14">
        <v>2</v>
      </c>
      <c r="N14" s="14">
        <v>0</v>
      </c>
      <c r="O14" s="14">
        <v>0</v>
      </c>
      <c r="P14" s="14">
        <v>3</v>
      </c>
      <c r="Q14" s="15">
        <f t="shared" si="0"/>
        <v>13</v>
      </c>
    </row>
    <row r="15" spans="1:17" ht="20.100000000000001" customHeight="1" x14ac:dyDescent="0.25">
      <c r="A15" s="14" t="s">
        <v>10</v>
      </c>
      <c r="B15" s="23" t="s">
        <v>46</v>
      </c>
      <c r="C15" s="14">
        <v>1</v>
      </c>
      <c r="D15" s="14">
        <v>0</v>
      </c>
      <c r="E15" s="14">
        <v>2</v>
      </c>
      <c r="F15" s="14">
        <v>1</v>
      </c>
      <c r="G15" s="14">
        <v>0</v>
      </c>
      <c r="H15" s="14">
        <v>0</v>
      </c>
      <c r="I15" s="15">
        <v>0</v>
      </c>
      <c r="J15" s="14">
        <v>0</v>
      </c>
      <c r="K15" s="14">
        <v>0</v>
      </c>
      <c r="L15" s="14">
        <v>3</v>
      </c>
      <c r="M15" s="14">
        <v>0</v>
      </c>
      <c r="N15" s="14">
        <v>2</v>
      </c>
      <c r="O15" s="14">
        <v>0</v>
      </c>
      <c r="P15" s="14">
        <v>1</v>
      </c>
      <c r="Q15" s="15">
        <f t="shared" si="0"/>
        <v>10</v>
      </c>
    </row>
    <row r="16" spans="1:17" ht="20.100000000000001" customHeight="1" x14ac:dyDescent="0.25">
      <c r="A16" s="14" t="s">
        <v>18</v>
      </c>
      <c r="B16" s="23" t="s">
        <v>47</v>
      </c>
      <c r="C16" s="14">
        <v>0</v>
      </c>
      <c r="D16" s="14">
        <v>0</v>
      </c>
      <c r="E16" s="14">
        <v>0</v>
      </c>
      <c r="F16" s="14">
        <v>0</v>
      </c>
      <c r="G16" s="14">
        <v>1</v>
      </c>
      <c r="H16" s="14">
        <v>0</v>
      </c>
      <c r="I16" s="14">
        <v>0</v>
      </c>
      <c r="J16" s="15">
        <v>0</v>
      </c>
      <c r="K16" s="14">
        <v>0</v>
      </c>
      <c r="L16" s="14">
        <v>0</v>
      </c>
      <c r="M16" s="14">
        <v>3</v>
      </c>
      <c r="N16" s="14">
        <v>0</v>
      </c>
      <c r="O16" s="14">
        <v>3</v>
      </c>
      <c r="P16" s="14">
        <v>0</v>
      </c>
      <c r="Q16" s="15">
        <f t="shared" si="0"/>
        <v>7</v>
      </c>
    </row>
    <row r="17" spans="1:17" ht="20.100000000000001" customHeight="1" x14ac:dyDescent="0.25">
      <c r="A17" s="14" t="s">
        <v>19</v>
      </c>
      <c r="B17" s="23" t="s">
        <v>48</v>
      </c>
      <c r="C17" s="14">
        <v>2</v>
      </c>
      <c r="D17" s="14">
        <v>3</v>
      </c>
      <c r="E17" s="14">
        <v>0</v>
      </c>
      <c r="F17" s="14">
        <v>3</v>
      </c>
      <c r="G17" s="14">
        <v>1</v>
      </c>
      <c r="H17" s="14">
        <v>2</v>
      </c>
      <c r="I17" s="14">
        <v>0</v>
      </c>
      <c r="J17" s="14">
        <v>0</v>
      </c>
      <c r="K17" s="15">
        <v>0</v>
      </c>
      <c r="L17" s="14">
        <v>2</v>
      </c>
      <c r="M17" s="22">
        <v>2</v>
      </c>
      <c r="N17" s="14">
        <v>0</v>
      </c>
      <c r="O17" s="14">
        <v>1</v>
      </c>
      <c r="P17" s="14">
        <v>3</v>
      </c>
      <c r="Q17" s="15">
        <f t="shared" si="0"/>
        <v>19</v>
      </c>
    </row>
    <row r="18" spans="1:17" ht="20.100000000000001" customHeight="1" x14ac:dyDescent="0.25">
      <c r="A18" s="14" t="s">
        <v>20</v>
      </c>
      <c r="B18" s="23" t="s">
        <v>49</v>
      </c>
      <c r="C18" s="14">
        <v>3</v>
      </c>
      <c r="D18" s="14">
        <v>2</v>
      </c>
      <c r="E18" s="14">
        <v>3</v>
      </c>
      <c r="F18" s="14">
        <v>1</v>
      </c>
      <c r="G18" s="14">
        <v>0</v>
      </c>
      <c r="H18" s="14">
        <v>0</v>
      </c>
      <c r="I18" s="14">
        <v>1</v>
      </c>
      <c r="J18" s="14">
        <v>0</v>
      </c>
      <c r="K18" s="14">
        <v>3</v>
      </c>
      <c r="L18" s="15">
        <v>0</v>
      </c>
      <c r="M18" s="22">
        <v>1</v>
      </c>
      <c r="N18" s="14">
        <v>0</v>
      </c>
      <c r="O18" s="14">
        <v>3</v>
      </c>
      <c r="P18" s="14">
        <v>3</v>
      </c>
      <c r="Q18" s="15">
        <f t="shared" si="0"/>
        <v>20</v>
      </c>
    </row>
    <row r="19" spans="1:17" ht="20.100000000000001" customHeight="1" x14ac:dyDescent="0.25">
      <c r="A19" s="14" t="s">
        <v>35</v>
      </c>
      <c r="B19" s="23" t="s">
        <v>50</v>
      </c>
      <c r="C19" s="14">
        <v>1</v>
      </c>
      <c r="D19" s="14">
        <v>2</v>
      </c>
      <c r="E19" s="14">
        <v>0</v>
      </c>
      <c r="F19" s="14">
        <v>2</v>
      </c>
      <c r="G19" s="14">
        <v>1</v>
      </c>
      <c r="H19" s="14">
        <v>2</v>
      </c>
      <c r="I19" s="14">
        <v>0</v>
      </c>
      <c r="J19" s="14">
        <v>3</v>
      </c>
      <c r="K19" s="14">
        <v>3</v>
      </c>
      <c r="L19" s="14">
        <v>2</v>
      </c>
      <c r="M19" s="15">
        <v>0</v>
      </c>
      <c r="N19" s="14">
        <v>0</v>
      </c>
      <c r="O19" s="22">
        <v>1</v>
      </c>
      <c r="P19" s="14">
        <v>2</v>
      </c>
      <c r="Q19" s="15">
        <f t="shared" si="0"/>
        <v>19</v>
      </c>
    </row>
    <row r="20" spans="1:17" ht="20.100000000000001" customHeight="1" x14ac:dyDescent="0.25">
      <c r="A20" s="14" t="s">
        <v>36</v>
      </c>
      <c r="B20" s="23" t="s">
        <v>41</v>
      </c>
      <c r="C20" s="14">
        <v>1</v>
      </c>
      <c r="D20" s="14">
        <v>0</v>
      </c>
      <c r="E20" s="14">
        <v>2</v>
      </c>
      <c r="F20" s="14">
        <v>0</v>
      </c>
      <c r="G20" s="14">
        <v>0</v>
      </c>
      <c r="H20" s="14">
        <v>1</v>
      </c>
      <c r="I20" s="14">
        <v>1</v>
      </c>
      <c r="J20" s="14">
        <v>1</v>
      </c>
      <c r="K20" s="14">
        <v>3</v>
      </c>
      <c r="L20" s="14">
        <v>3</v>
      </c>
      <c r="M20" s="22">
        <v>1</v>
      </c>
      <c r="N20" s="15">
        <v>0</v>
      </c>
      <c r="O20" s="22">
        <v>2</v>
      </c>
      <c r="P20" s="22">
        <v>2</v>
      </c>
      <c r="Q20" s="15">
        <f t="shared" si="0"/>
        <v>17</v>
      </c>
    </row>
    <row r="21" spans="1:17" ht="20.100000000000001" customHeight="1" x14ac:dyDescent="0.25">
      <c r="A21" s="14" t="s">
        <v>37</v>
      </c>
      <c r="B21" s="23" t="s">
        <v>52</v>
      </c>
      <c r="C21" s="14">
        <v>1</v>
      </c>
      <c r="D21" s="14">
        <v>0</v>
      </c>
      <c r="E21" s="14">
        <v>0</v>
      </c>
      <c r="F21" s="14">
        <v>3</v>
      </c>
      <c r="G21" s="14">
        <v>0</v>
      </c>
      <c r="H21" s="14">
        <v>0</v>
      </c>
      <c r="I21" s="14">
        <v>0</v>
      </c>
      <c r="J21" s="14">
        <v>2</v>
      </c>
      <c r="K21" s="14">
        <v>1</v>
      </c>
      <c r="L21" s="14">
        <v>2</v>
      </c>
      <c r="M21" s="22">
        <v>1</v>
      </c>
      <c r="N21" s="14">
        <v>0</v>
      </c>
      <c r="O21" s="15">
        <v>0</v>
      </c>
      <c r="P21" s="22">
        <v>2</v>
      </c>
      <c r="Q21" s="15">
        <f t="shared" si="0"/>
        <v>12</v>
      </c>
    </row>
    <row r="22" spans="1:17" ht="20.100000000000001" customHeight="1" x14ac:dyDescent="0.25">
      <c r="A22" s="14" t="s">
        <v>38</v>
      </c>
      <c r="B22" s="23" t="s">
        <v>51</v>
      </c>
      <c r="C22" s="14">
        <v>3</v>
      </c>
      <c r="D22" s="14">
        <v>0</v>
      </c>
      <c r="E22" s="14">
        <v>0</v>
      </c>
      <c r="F22" s="14">
        <v>1</v>
      </c>
      <c r="G22" s="14">
        <v>1</v>
      </c>
      <c r="H22" s="14">
        <v>1</v>
      </c>
      <c r="I22" s="14">
        <v>0</v>
      </c>
      <c r="J22" s="14">
        <v>0</v>
      </c>
      <c r="K22" s="14">
        <v>2</v>
      </c>
      <c r="L22" s="14">
        <v>3</v>
      </c>
      <c r="M22" s="14">
        <v>1</v>
      </c>
      <c r="N22" s="14">
        <v>0</v>
      </c>
      <c r="O22" s="14">
        <v>0</v>
      </c>
      <c r="P22" s="15">
        <v>0</v>
      </c>
      <c r="Q22" s="15">
        <f t="shared" si="0"/>
        <v>12</v>
      </c>
    </row>
    <row r="23" spans="1:17" ht="17.25" customHeight="1" x14ac:dyDescent="0.25">
      <c r="A23" s="43" t="s">
        <v>12</v>
      </c>
      <c r="B23" s="44"/>
      <c r="C23" s="15">
        <f t="shared" ref="C23:P23" si="1">SUM(C9:C22)</f>
        <v>21</v>
      </c>
      <c r="D23" s="15">
        <f t="shared" si="1"/>
        <v>10</v>
      </c>
      <c r="E23" s="15">
        <f t="shared" si="1"/>
        <v>13</v>
      </c>
      <c r="F23" s="15">
        <f t="shared" si="1"/>
        <v>18</v>
      </c>
      <c r="G23" s="15">
        <f t="shared" si="1"/>
        <v>13</v>
      </c>
      <c r="H23" s="15">
        <f t="shared" si="1"/>
        <v>13</v>
      </c>
      <c r="I23" s="15">
        <f t="shared" si="1"/>
        <v>10</v>
      </c>
      <c r="J23" s="15">
        <f t="shared" si="1"/>
        <v>9</v>
      </c>
      <c r="K23" s="15">
        <f t="shared" si="1"/>
        <v>22</v>
      </c>
      <c r="L23" s="15">
        <f t="shared" si="1"/>
        <v>30</v>
      </c>
      <c r="M23" s="15">
        <f t="shared" si="1"/>
        <v>14</v>
      </c>
      <c r="N23" s="15">
        <f t="shared" si="1"/>
        <v>11</v>
      </c>
      <c r="O23" s="15">
        <f t="shared" si="1"/>
        <v>18</v>
      </c>
      <c r="P23" s="15">
        <f t="shared" si="1"/>
        <v>20</v>
      </c>
      <c r="Q23" s="15"/>
    </row>
    <row r="24" spans="1:17" x14ac:dyDescent="0.25">
      <c r="A24" s="16"/>
      <c r="B24" s="16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spans="1:17" ht="15.75" x14ac:dyDescent="0.25">
      <c r="A25" s="17" t="s">
        <v>26</v>
      </c>
      <c r="B25" s="18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spans="1:17" ht="50.45" customHeight="1" x14ac:dyDescent="0.25">
      <c r="A26" s="45" t="s">
        <v>27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19"/>
      <c r="O26" s="19"/>
      <c r="P26" s="19"/>
      <c r="Q26" s="19"/>
    </row>
    <row r="27" spans="1:17" ht="50.45" customHeight="1" x14ac:dyDescent="0.25">
      <c r="A27" s="17" t="s">
        <v>28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</row>
    <row r="28" spans="1:17" ht="50.45" customHeight="1" x14ac:dyDescent="0.25">
      <c r="A28" s="45" t="s">
        <v>29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</row>
    <row r="29" spans="1:17" ht="31.9" customHeight="1" x14ac:dyDescent="0.25">
      <c r="A29" s="45" t="s">
        <v>30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</row>
    <row r="30" spans="1:17" ht="38.450000000000003" customHeight="1" x14ac:dyDescent="0.25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</row>
    <row r="31" spans="1:17" ht="15.6" customHeight="1" x14ac:dyDescent="0.25">
      <c r="A31" s="17" t="s">
        <v>31</v>
      </c>
      <c r="B31" s="18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spans="1:17" ht="61.15" customHeight="1" x14ac:dyDescent="0.25">
      <c r="A32" s="45" t="s">
        <v>32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</row>
    <row r="33" spans="1:17" hidden="1" x14ac:dyDescent="0.25">
      <c r="A33" s="7"/>
      <c r="B33" s="7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spans="1:17" hidden="1" x14ac:dyDescent="0.25">
      <c r="A34" s="7"/>
      <c r="B34" s="7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</row>
    <row r="35" spans="1:17" hidden="1" x14ac:dyDescent="0.25">
      <c r="A35" s="7"/>
      <c r="B35" s="7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7" hidden="1" x14ac:dyDescent="0.25">
      <c r="A36" s="7"/>
      <c r="B36" s="7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spans="1:17" hidden="1" x14ac:dyDescent="0.25">
      <c r="A37" s="7"/>
      <c r="B37" s="7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</row>
    <row r="38" spans="1:17" hidden="1" x14ac:dyDescent="0.25">
      <c r="A38" s="7"/>
      <c r="B38" s="7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spans="1:17" hidden="1" x14ac:dyDescent="0.25">
      <c r="A39" s="7"/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spans="1:17" hidden="1" x14ac:dyDescent="0.25">
      <c r="A40" s="7"/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</row>
    <row r="41" spans="1:17" hidden="1" x14ac:dyDescent="0.25">
      <c r="A41" s="7"/>
      <c r="B41" s="7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spans="1:17" hidden="1" x14ac:dyDescent="0.25">
      <c r="A42" s="7"/>
      <c r="B42" s="7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</row>
    <row r="43" spans="1:17" hidden="1" x14ac:dyDescent="0.25">
      <c r="A43" s="7"/>
      <c r="B43" s="7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7" hidden="1" x14ac:dyDescent="0.25">
      <c r="A44" s="7"/>
      <c r="B44" s="7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</row>
    <row r="45" spans="1:17" hidden="1" x14ac:dyDescent="0.25">
      <c r="A45" s="7"/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</row>
    <row r="46" spans="1:17" ht="20.25" customHeight="1" x14ac:dyDescent="0.25">
      <c r="A46" s="36" t="s">
        <v>13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</row>
    <row r="60" spans="33:33" x14ac:dyDescent="0.25">
      <c r="AG60">
        <v>1.5</v>
      </c>
    </row>
    <row r="61" spans="33:33" x14ac:dyDescent="0.25">
      <c r="AG61">
        <v>1.75</v>
      </c>
    </row>
    <row r="62" spans="33:33" x14ac:dyDescent="0.25">
      <c r="AG62">
        <v>0.6</v>
      </c>
    </row>
    <row r="63" spans="33:33" x14ac:dyDescent="0.25">
      <c r="AG63">
        <f>SUM(AG60:AG62)</f>
        <v>3.85</v>
      </c>
    </row>
    <row r="65" spans="1:33" x14ac:dyDescent="0.25">
      <c r="AG65">
        <v>1.7</v>
      </c>
    </row>
    <row r="66" spans="1:33" x14ac:dyDescent="0.25">
      <c r="AG66">
        <v>1.1000000000000001</v>
      </c>
    </row>
    <row r="67" spans="1:33" x14ac:dyDescent="0.25">
      <c r="AG67">
        <f>SUM(AG65:AG66)</f>
        <v>2.8</v>
      </c>
    </row>
    <row r="71" spans="1:33" x14ac:dyDescent="0.25">
      <c r="A71" s="5" t="s">
        <v>22</v>
      </c>
    </row>
    <row r="73" spans="1:33" x14ac:dyDescent="0.25">
      <c r="A73" s="6" t="s">
        <v>21</v>
      </c>
    </row>
    <row r="74" spans="1:33" ht="15" customHeight="1" x14ac:dyDescent="0.25">
      <c r="A74" s="25" t="s">
        <v>23</v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</row>
    <row r="75" spans="1:33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</row>
    <row r="76" spans="1:33" x14ac:dyDescent="0.25">
      <c r="A76" s="24" t="s">
        <v>24</v>
      </c>
      <c r="B76" s="24"/>
    </row>
  </sheetData>
  <mergeCells count="13">
    <mergeCell ref="A76:B76"/>
    <mergeCell ref="A74:Q75"/>
    <mergeCell ref="A1:M1"/>
    <mergeCell ref="A2:M2"/>
    <mergeCell ref="N1:Q2"/>
    <mergeCell ref="A4:Q4"/>
    <mergeCell ref="A5:Q6"/>
    <mergeCell ref="A46:Q46"/>
    <mergeCell ref="A23:B23"/>
    <mergeCell ref="A26:M26"/>
    <mergeCell ref="A28:Q28"/>
    <mergeCell ref="A29:Q30"/>
    <mergeCell ref="A32:Q32"/>
  </mergeCells>
  <phoneticPr fontId="18" type="noConversion"/>
  <conditionalFormatting sqref="C9:P22">
    <cfRule type="cellIs" dxfId="0" priority="1" operator="greaterThan">
      <formula>3</formula>
    </cfRule>
  </conditionalFormatting>
  <hyperlinks>
    <hyperlink ref="A71" r:id="rId1" xr:uid="{00000000-0004-0000-0000-000000000000}"/>
    <hyperlink ref="A76" r:id="rId2" xr:uid="{00000000-0004-0000-0000-000001000000}"/>
  </hyperlinks>
  <pageMargins left="0.70866141732283472" right="0.70866141732283472" top="0.74803149606299213" bottom="0.74803149606299213" header="0.31496062992125984" footer="0.31496062992125984"/>
  <pageSetup scale="58" orientation="landscape" r:id="rId3"/>
  <rowBreaks count="1" manualBreakCount="1">
    <brk id="32" max="16383" man="1"/>
  </rowBreaks>
  <colBreaks count="1" manualBreakCount="1">
    <brk id="17" max="1048575" man="1"/>
  </colBreak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showGridLines="0" workbookViewId="0">
      <selection activeCell="C4" sqref="C4"/>
    </sheetView>
  </sheetViews>
  <sheetFormatPr baseColWidth="10" defaultColWidth="9.140625" defaultRowHeight="15" x14ac:dyDescent="0.25"/>
  <sheetData>
    <row r="1" spans="1:6" ht="15" customHeight="1" x14ac:dyDescent="0.25">
      <c r="C1" s="2" t="s">
        <v>14</v>
      </c>
      <c r="D1" s="2" t="s">
        <v>15</v>
      </c>
      <c r="F1" s="3"/>
    </row>
    <row r="2" spans="1:6" ht="15" customHeight="1" x14ac:dyDescent="0.25">
      <c r="A2" s="46" t="s">
        <v>16</v>
      </c>
      <c r="B2" s="47"/>
      <c r="C2" s="4">
        <v>0</v>
      </c>
      <c r="D2" s="4">
        <f>MAX(Dependencia)/2</f>
        <v>15</v>
      </c>
      <c r="E2" s="3"/>
      <c r="F2" s="3"/>
    </row>
    <row r="3" spans="1:6" x14ac:dyDescent="0.25">
      <c r="A3" s="48"/>
      <c r="B3" s="49"/>
      <c r="C3" s="4">
        <f>MAX(Influencia)</f>
        <v>31</v>
      </c>
      <c r="D3" s="4">
        <f>MAX(Dependencia)/2</f>
        <v>15</v>
      </c>
    </row>
    <row r="4" spans="1:6" ht="15" customHeight="1" x14ac:dyDescent="0.25">
      <c r="A4" s="46" t="s">
        <v>17</v>
      </c>
      <c r="B4" s="47"/>
      <c r="C4" s="4">
        <f>MAX(Influencia)/2</f>
        <v>15.5</v>
      </c>
      <c r="D4" s="4">
        <v>0</v>
      </c>
    </row>
    <row r="5" spans="1:6" x14ac:dyDescent="0.25">
      <c r="A5" s="48"/>
      <c r="B5" s="49"/>
      <c r="C5" s="4">
        <f>MAX(Influencia)/2</f>
        <v>15.5</v>
      </c>
      <c r="D5" s="4">
        <f>MAX(Dependencia)</f>
        <v>30</v>
      </c>
    </row>
  </sheetData>
  <mergeCells count="2">
    <mergeCell ref="A4:B5"/>
    <mergeCell ref="A2:B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2:L12"/>
  <sheetViews>
    <sheetView topLeftCell="E8" workbookViewId="0">
      <selection activeCell="B16" sqref="B16"/>
    </sheetView>
  </sheetViews>
  <sheetFormatPr baseColWidth="10" defaultRowHeight="15" x14ac:dyDescent="0.25"/>
  <sheetData>
    <row r="12" spans="2:12" ht="31.15" customHeight="1" x14ac:dyDescent="0.25">
      <c r="B12" s="50" t="s">
        <v>33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</row>
  </sheetData>
  <mergeCells count="1">
    <mergeCell ref="B12:L1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Matriz y gráfico</vt:lpstr>
      <vt:lpstr>Parámetros</vt:lpstr>
      <vt:lpstr>ARBOL DE PROBLEMAS</vt:lpstr>
      <vt:lpstr>Dependencia</vt:lpstr>
      <vt:lpstr>Influencia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Ingenio Empresa</dc:creator>
  <cp:keywords/>
  <dc:description/>
  <cp:lastModifiedBy>Tomas Londoño Muriel</cp:lastModifiedBy>
  <cp:revision/>
  <cp:lastPrinted>2023-09-25T11:01:29Z</cp:lastPrinted>
  <dcterms:created xsi:type="dcterms:W3CDTF">2011-08-11T16:16:29Z</dcterms:created>
  <dcterms:modified xsi:type="dcterms:W3CDTF">2025-11-07T21:45:59Z</dcterms:modified>
  <cp:category/>
  <cp:contentStatus/>
</cp:coreProperties>
</file>