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ictures\ProyectoTDO\Diagramas\"/>
    </mc:Choice>
  </mc:AlternateContent>
  <xr:revisionPtr revIDLastSave="0" documentId="13_ncr:1_{DE3BC627-DA81-4D85-9C65-6442FBC4E61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atriz y gráfico" sheetId="1" r:id="rId1"/>
    <sheet name="Parámetros" sheetId="2" r:id="rId2"/>
  </sheets>
  <definedNames>
    <definedName name="Dependencia">'Matriz y gráfico'!$C$16:$M$16</definedName>
    <definedName name="Influencia">'Matriz y gráfico'!$Q$2:$Q$15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11" i="1"/>
  <c r="Q12" i="1"/>
  <c r="Q13" i="1"/>
  <c r="Q14" i="1"/>
  <c r="Q15" i="1"/>
  <c r="Q3" i="1"/>
  <c r="Q2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C16" i="1"/>
  <c r="C4" i="2" l="1"/>
  <c r="D2" i="2"/>
  <c r="D3" i="2"/>
  <c r="D5" i="2"/>
  <c r="C5" i="2"/>
  <c r="C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Betancourt Quintero</author>
  </authors>
  <commentList>
    <comment ref="Q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Activos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Pasivos</t>
        </r>
      </text>
    </comment>
  </commentList>
</comments>
</file>

<file path=xl/sharedStrings.xml><?xml version="1.0" encoding="utf-8"?>
<sst xmlns="http://schemas.openxmlformats.org/spreadsheetml/2006/main" count="51" uniqueCount="37">
  <si>
    <t>Código</t>
  </si>
  <si>
    <t>Variable</t>
  </si>
  <si>
    <t>P1</t>
  </si>
  <si>
    <t>P2</t>
  </si>
  <si>
    <t>P3</t>
  </si>
  <si>
    <t>P4</t>
  </si>
  <si>
    <t>P5</t>
  </si>
  <si>
    <t>P6</t>
  </si>
  <si>
    <t>P7</t>
  </si>
  <si>
    <t>INFLUENCIA</t>
  </si>
  <si>
    <t>DEPENDENCIA</t>
  </si>
  <si>
    <t>Clasificación</t>
  </si>
  <si>
    <t>X</t>
  </si>
  <si>
    <t>Y</t>
  </si>
  <si>
    <t>Linea horizontal</t>
  </si>
  <si>
    <t>Linea vertical</t>
  </si>
  <si>
    <t>P8</t>
  </si>
  <si>
    <t>P9</t>
  </si>
  <si>
    <t>P10</t>
  </si>
  <si>
    <t>P11</t>
  </si>
  <si>
    <t>P12</t>
  </si>
  <si>
    <t>P13</t>
  </si>
  <si>
    <t>P14</t>
  </si>
  <si>
    <t>Innovación en experiencias turísticas</t>
  </si>
  <si>
    <t>Gestión financiera y control de costos</t>
  </si>
  <si>
    <t>Seguridad y percepción de riesgo</t>
  </si>
  <si>
    <t>Buena calidad en el servicio al cliente</t>
  </si>
  <si>
    <t>Corrrecta capacitación y motivación del personal</t>
  </si>
  <si>
    <t>Buen estado de las atracciones</t>
  </si>
  <si>
    <t>Buenas estrategias de marketing y promoción</t>
  </si>
  <si>
    <t>Optima infraestructura y accesibilidad dentro del parque</t>
  </si>
  <si>
    <t>Buena gestión ambiental y correcto manejo de residuos</t>
  </si>
  <si>
    <t>Alto flujo de turistas nacionales e internacionales</t>
  </si>
  <si>
    <t>Alta competitividad frete a otros parques temáticos</t>
  </si>
  <si>
    <t>Buen apoyo institucional y políticas de turismo</t>
  </si>
  <si>
    <t>Alto estrato socioeconómico del visitante promedio</t>
  </si>
  <si>
    <t>Aumento en tendencias del turismo sostenible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</si>
</sst>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Gisha"/>
      <family val="2"/>
    </font>
    <font>
      <b/>
      <sz val="16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3"/>
      <name val="Gisha"/>
      <family val="2"/>
    </font>
    <font>
      <sz val="10"/>
      <color theme="3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4" borderId="1" xfId="0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0" fontId="3" fillId="3" borderId="0" xfId="0" applyFont="1" applyFill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'Matriz y gráfico'!$A$2</c:f>
              <c:strCache>
                <c:ptCount val="1"/>
                <c:pt idx="0">
                  <c:v>P1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gráfico'!$Q$2</c:f>
              <c:numCache>
                <c:formatCode>General</c:formatCode>
                <c:ptCount val="1"/>
                <c:pt idx="0">
                  <c:v>6</c:v>
                </c:pt>
              </c:numCache>
            </c:numRef>
          </c:xVal>
          <c:yVal>
            <c:numRef>
              <c:f>'Matriz y gráfico'!$C$16</c:f>
              <c:numCache>
                <c:formatCode>General</c:formatCode>
                <c:ptCount val="1"/>
                <c:pt idx="0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E9-4A49-8146-654BBD047A7F}"/>
            </c:ext>
          </c:extLst>
        </c:ser>
        <c:ser>
          <c:idx val="1"/>
          <c:order val="1"/>
          <c:tx>
            <c:strRef>
              <c:f>'Matriz y gráfico'!$A$3</c:f>
              <c:strCache>
                <c:ptCount val="1"/>
                <c:pt idx="0">
                  <c:v>P2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D0-41EF-87DA-B7F58B316A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gráfico'!$Q$3</c:f>
              <c:numCache>
                <c:formatCode>General</c:formatCode>
                <c:ptCount val="1"/>
                <c:pt idx="0">
                  <c:v>13</c:v>
                </c:pt>
              </c:numCache>
            </c:numRef>
          </c:xVal>
          <c:yVal>
            <c:numRef>
              <c:f>'Matriz y gráfico'!$D$16</c:f>
              <c:numCache>
                <c:formatCode>General</c:formatCode>
                <c:ptCount val="1"/>
                <c:pt idx="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E9-4A49-8146-654BBD047A7F}"/>
            </c:ext>
          </c:extLst>
        </c:ser>
        <c:ser>
          <c:idx val="2"/>
          <c:order val="2"/>
          <c:tx>
            <c:strRef>
              <c:f>'Matriz y gráfico'!$A$4</c:f>
              <c:strCache>
                <c:ptCount val="1"/>
                <c:pt idx="0">
                  <c:v>P3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gráfico'!$Q$4</c:f>
              <c:numCache>
                <c:formatCode>General</c:formatCode>
                <c:ptCount val="1"/>
                <c:pt idx="0">
                  <c:v>21</c:v>
                </c:pt>
              </c:numCache>
            </c:numRef>
          </c:xVal>
          <c:yVal>
            <c:numRef>
              <c:f>'Matriz y gráfico'!$E$16</c:f>
              <c:numCache>
                <c:formatCode>General</c:formatCode>
                <c:ptCount val="1"/>
                <c:pt idx="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E9-4A49-8146-654BBD047A7F}"/>
            </c:ext>
          </c:extLst>
        </c:ser>
        <c:ser>
          <c:idx val="3"/>
          <c:order val="3"/>
          <c:tx>
            <c:strRef>
              <c:f>'Matriz y gráfico'!$A$5</c:f>
              <c:strCache>
                <c:ptCount val="1"/>
                <c:pt idx="0">
                  <c:v>P4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gráfico'!$Q$5</c:f>
              <c:numCache>
                <c:formatCode>General</c:formatCode>
                <c:ptCount val="1"/>
                <c:pt idx="0">
                  <c:v>31</c:v>
                </c:pt>
              </c:numCache>
            </c:numRef>
          </c:xVal>
          <c:yVal>
            <c:numRef>
              <c:f>'Matriz y gráfico'!$F$16</c:f>
              <c:numCache>
                <c:formatCode>General</c:formatCode>
                <c:ptCount val="1"/>
                <c:pt idx="0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E9-4A49-8146-654BBD047A7F}"/>
            </c:ext>
          </c:extLst>
        </c:ser>
        <c:ser>
          <c:idx val="4"/>
          <c:order val="4"/>
          <c:tx>
            <c:strRef>
              <c:f>'Matriz y gráfico'!$A$6</c:f>
              <c:strCache>
                <c:ptCount val="1"/>
                <c:pt idx="0">
                  <c:v>P5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D0-41EF-87DA-B7F58B316A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gráfico'!$Q$6</c:f>
              <c:numCache>
                <c:formatCode>General</c:formatCode>
                <c:ptCount val="1"/>
                <c:pt idx="0">
                  <c:v>22</c:v>
                </c:pt>
              </c:numCache>
            </c:numRef>
          </c:xVal>
          <c:yVal>
            <c:numRef>
              <c:f>'Matriz y gráfico'!$G$16</c:f>
              <c:numCache>
                <c:formatCode>General</c:formatCode>
                <c:ptCount val="1"/>
                <c:pt idx="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E9-4A49-8146-654BBD047A7F}"/>
            </c:ext>
          </c:extLst>
        </c:ser>
        <c:ser>
          <c:idx val="5"/>
          <c:order val="5"/>
          <c:tx>
            <c:strRef>
              <c:f>'Matriz y gráfico'!$A$7</c:f>
              <c:strCache>
                <c:ptCount val="1"/>
                <c:pt idx="0">
                  <c:v>P6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gráfico'!$Q$7</c:f>
              <c:numCache>
                <c:formatCode>General</c:formatCode>
                <c:ptCount val="1"/>
                <c:pt idx="0">
                  <c:v>13</c:v>
                </c:pt>
              </c:numCache>
            </c:numRef>
          </c:xVal>
          <c:yVal>
            <c:numRef>
              <c:f>'Matriz y gráfico'!$H$16</c:f>
              <c:numCache>
                <c:formatCode>General</c:formatCode>
                <c:ptCount val="1"/>
                <c:pt idx="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E9-4A49-8146-654BBD047A7F}"/>
            </c:ext>
          </c:extLst>
        </c:ser>
        <c:ser>
          <c:idx val="6"/>
          <c:order val="6"/>
          <c:tx>
            <c:strRef>
              <c:f>'Matriz y gráfico'!$A$8</c:f>
              <c:strCache>
                <c:ptCount val="1"/>
                <c:pt idx="0">
                  <c:v>P7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gráfico'!$Q$8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'Matriz y gráfico'!$I$16</c:f>
              <c:numCache>
                <c:formatCode>General</c:formatCode>
                <c:ptCount val="1"/>
                <c:pt idx="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2E9-4A49-8146-654BBD047A7F}"/>
            </c:ext>
          </c:extLst>
        </c:ser>
        <c:ser>
          <c:idx val="9"/>
          <c:order val="7"/>
          <c:tx>
            <c:strRef>
              <c:f>'Matriz y gráfico'!$A$9</c:f>
              <c:strCache>
                <c:ptCount val="1"/>
                <c:pt idx="0">
                  <c:v>P8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gráfico'!$Q$9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'Matriz y gráfico'!$J$16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D0-41EF-87DA-B7F58B316A58}"/>
            </c:ext>
          </c:extLst>
        </c:ser>
        <c:ser>
          <c:idx val="10"/>
          <c:order val="8"/>
          <c:tx>
            <c:strRef>
              <c:f>'Matriz y gráfico'!$A$10</c:f>
              <c:strCache>
                <c:ptCount val="1"/>
                <c:pt idx="0">
                  <c:v>P9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gráfico'!$Q$10</c:f>
              <c:numCache>
                <c:formatCode>General</c:formatCode>
                <c:ptCount val="1"/>
                <c:pt idx="0">
                  <c:v>19</c:v>
                </c:pt>
              </c:numCache>
            </c:numRef>
          </c:xVal>
          <c:yVal>
            <c:numRef>
              <c:f>'Matriz y gráfico'!$M$16</c:f>
              <c:numCache>
                <c:formatCode>General</c:formatCode>
                <c:ptCount val="1"/>
                <c:pt idx="0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D0-41EF-87DA-B7F58B316A58}"/>
            </c:ext>
          </c:extLst>
        </c:ser>
        <c:ser>
          <c:idx val="11"/>
          <c:order val="9"/>
          <c:tx>
            <c:strRef>
              <c:f>'Matriz y gráfico'!$A$15</c:f>
              <c:strCache>
                <c:ptCount val="1"/>
                <c:pt idx="0">
                  <c:v>P14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y gráfico'!$Q$15</c:f>
              <c:numCache>
                <c:formatCode>General</c:formatCode>
                <c:ptCount val="1"/>
                <c:pt idx="0">
                  <c:v>12</c:v>
                </c:pt>
              </c:numCache>
            </c:numRef>
          </c:xVal>
          <c:yVal>
            <c:numRef>
              <c:f>'Matriz y gráfico'!#REF!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DD0-41EF-87DA-B7F58B316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419840"/>
        <c:axId val="1729425824"/>
      </c:scatterChart>
      <c:scatterChart>
        <c:scatterStyle val="smoothMarker"/>
        <c:varyColors val="0"/>
        <c:ser>
          <c:idx val="7"/>
          <c:order val="10"/>
          <c:tx>
            <c:strRef>
              <c:f>Parámetros!$A$2</c:f>
              <c:strCache>
                <c:ptCount val="1"/>
                <c:pt idx="0">
                  <c:v>Linea horizontal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Parámetros!$C$2:$C$3</c:f>
              <c:numCache>
                <c:formatCode>General</c:formatCode>
                <c:ptCount val="2"/>
                <c:pt idx="0">
                  <c:v>0</c:v>
                </c:pt>
                <c:pt idx="1">
                  <c:v>31</c:v>
                </c:pt>
              </c:numCache>
            </c:numRef>
          </c:xVal>
          <c:yVal>
            <c:numRef>
              <c:f>Parámetros!$D$2:$D$3</c:f>
              <c:numCache>
                <c:formatCode>General</c:formatCode>
                <c:ptCount val="2"/>
                <c:pt idx="0">
                  <c:v>15</c:v>
                </c:pt>
                <c:pt idx="1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2E9-4A49-8146-654BBD047A7F}"/>
            </c:ext>
          </c:extLst>
        </c:ser>
        <c:ser>
          <c:idx val="8"/>
          <c:order val="11"/>
          <c:tx>
            <c:strRef>
              <c:f>Parámetros!$A$4</c:f>
              <c:strCache>
                <c:ptCount val="1"/>
                <c:pt idx="0">
                  <c:v>Linea vertical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Parámetros!$C$4:$C$5</c:f>
              <c:numCache>
                <c:formatCode>General</c:formatCode>
                <c:ptCount val="2"/>
                <c:pt idx="0">
                  <c:v>15.5</c:v>
                </c:pt>
                <c:pt idx="1">
                  <c:v>15.5</c:v>
                </c:pt>
              </c:numCache>
            </c:numRef>
          </c:xVal>
          <c:yVal>
            <c:numRef>
              <c:f>Parámetros!$D$4:$D$5</c:f>
              <c:numCache>
                <c:formatCode>General</c:formatCode>
                <c:ptCount val="2"/>
                <c:pt idx="0">
                  <c:v>0</c:v>
                </c:pt>
                <c:pt idx="1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2E9-4A49-8146-654BBD047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419840"/>
        <c:axId val="1729425824"/>
      </c:scatterChart>
      <c:valAx>
        <c:axId val="172941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Influencia/Causalidad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29425824"/>
        <c:crosses val="autoZero"/>
        <c:crossBetween val="midCat"/>
        <c:majorUnit val="1"/>
        <c:minorUnit val="1"/>
      </c:valAx>
      <c:valAx>
        <c:axId val="172942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Dependencia/Consecuencia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29419840"/>
        <c:crosses val="autoZero"/>
        <c:crossBetween val="midCat"/>
        <c:majorUnit val="1"/>
        <c:min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8657</xdr:rowOff>
    </xdr:from>
    <xdr:to>
      <xdr:col>16</xdr:col>
      <xdr:colOff>822614</xdr:colOff>
      <xdr:row>40</xdr:row>
      <xdr:rowOff>142874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0.68546</cdr:x>
      <cdr:y>0.7307</cdr:y>
    </cdr:from>
    <cdr:to>
      <cdr:x>0.7848</cdr:x>
      <cdr:y>0.80412</cdr:y>
    </cdr:to>
    <cdr:sp macro="" textlink="">
      <cdr:nvSpPr>
        <cdr:cNvPr id="2" name="TextBox 7">
          <a:extLst xmlns:a="http://schemas.openxmlformats.org/drawingml/2006/main">
            <a:ext uri="{FF2B5EF4-FFF2-40B4-BE49-F238E27FC236}">
              <a16:creationId xmlns:a16="http://schemas.microsoft.com/office/drawing/2014/main" id="{5AA1494B-D101-41EC-9C40-ABDECEA8884C}"/>
            </a:ext>
          </a:extLst>
        </cdr:cNvPr>
        <cdr:cNvSpPr txBox="1"/>
      </cdr:nvSpPr>
      <cdr:spPr>
        <a:xfrm xmlns:a="http://schemas.openxmlformats.org/drawingml/2006/main">
          <a:off x="4664092" y="2068362"/>
          <a:ext cx="675941" cy="20782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CO" sz="1100" b="1"/>
            <a:t>ACTIVOS</a:t>
          </a:r>
        </a:p>
      </cdr:txBody>
    </cdr:sp>
  </cdr:relSizeAnchor>
  <cdr:relSizeAnchor xmlns:cdr="http://schemas.openxmlformats.org/drawingml/2006/chartDrawing">
    <cdr:from>
      <cdr:x>0.08773</cdr:x>
      <cdr:y>0.73743</cdr:y>
    </cdr:from>
    <cdr:to>
      <cdr:x>0.21698</cdr:x>
      <cdr:y>0.81126</cdr:y>
    </cdr:to>
    <cdr:sp macro="" textlink="">
      <cdr:nvSpPr>
        <cdr:cNvPr id="3" name="TextBox 7">
          <a:extLst xmlns:a="http://schemas.openxmlformats.org/drawingml/2006/main">
            <a:ext uri="{FF2B5EF4-FFF2-40B4-BE49-F238E27FC236}">
              <a16:creationId xmlns:a16="http://schemas.microsoft.com/office/drawing/2014/main" id="{5AA1494B-D101-41EC-9C40-ABDECEA8884C}"/>
            </a:ext>
          </a:extLst>
        </cdr:cNvPr>
        <cdr:cNvSpPr txBox="1"/>
      </cdr:nvSpPr>
      <cdr:spPr>
        <a:xfrm xmlns:a="http://schemas.openxmlformats.org/drawingml/2006/main">
          <a:off x="596917" y="2087412"/>
          <a:ext cx="879458" cy="20898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CO" sz="1100" b="1"/>
            <a:t>INDIFERENTES</a:t>
          </a:r>
        </a:p>
      </cdr:txBody>
    </cdr:sp>
  </cdr:relSizeAnchor>
  <cdr:relSizeAnchor xmlns:cdr="http://schemas.openxmlformats.org/drawingml/2006/chartDrawing">
    <cdr:from>
      <cdr:x>0.08026</cdr:x>
      <cdr:y>0.0516</cdr:y>
    </cdr:from>
    <cdr:to>
      <cdr:x>0.1796</cdr:x>
      <cdr:y>0.12502</cdr:y>
    </cdr:to>
    <cdr:sp macro="" textlink="">
      <cdr:nvSpPr>
        <cdr:cNvPr id="4" name="TextBox 7">
          <a:extLst xmlns:a="http://schemas.openxmlformats.org/drawingml/2006/main">
            <a:ext uri="{FF2B5EF4-FFF2-40B4-BE49-F238E27FC236}">
              <a16:creationId xmlns:a16="http://schemas.microsoft.com/office/drawing/2014/main" id="{5AA1494B-D101-41EC-9C40-ABDECEA8884C}"/>
            </a:ext>
          </a:extLst>
        </cdr:cNvPr>
        <cdr:cNvSpPr txBox="1"/>
      </cdr:nvSpPr>
      <cdr:spPr>
        <a:xfrm xmlns:a="http://schemas.openxmlformats.org/drawingml/2006/main">
          <a:off x="546100" y="146050"/>
          <a:ext cx="675941" cy="20782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CO" sz="1100" b="1"/>
            <a:t>PASIVOS</a:t>
          </a:r>
        </a:p>
      </cdr:txBody>
    </cdr:sp>
  </cdr:relSizeAnchor>
  <cdr:relSizeAnchor xmlns:cdr="http://schemas.openxmlformats.org/drawingml/2006/chartDrawing">
    <cdr:from>
      <cdr:x>0.68219</cdr:x>
      <cdr:y>0.05496</cdr:y>
    </cdr:from>
    <cdr:to>
      <cdr:x>0.78153</cdr:x>
      <cdr:y>0.12838</cdr:y>
    </cdr:to>
    <cdr:sp macro="" textlink="">
      <cdr:nvSpPr>
        <cdr:cNvPr id="5" name="TextBox 7">
          <a:extLst xmlns:a="http://schemas.openxmlformats.org/drawingml/2006/main">
            <a:ext uri="{FF2B5EF4-FFF2-40B4-BE49-F238E27FC236}">
              <a16:creationId xmlns:a16="http://schemas.microsoft.com/office/drawing/2014/main" id="{5AA1494B-D101-41EC-9C40-ABDECEA8884C}"/>
            </a:ext>
          </a:extLst>
        </cdr:cNvPr>
        <cdr:cNvSpPr txBox="1"/>
      </cdr:nvSpPr>
      <cdr:spPr>
        <a:xfrm xmlns:a="http://schemas.openxmlformats.org/drawingml/2006/main">
          <a:off x="4641850" y="155575"/>
          <a:ext cx="675941" cy="20782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CO" sz="1100" b="1"/>
            <a:t>CRÍTICOS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133348</xdr:colOff>
      <xdr:row>0</xdr:row>
      <xdr:rowOff>47624</xdr:rowOff>
    </xdr:from>
    <xdr:to>
      <xdr:col>7</xdr:col>
      <xdr:colOff>400049</xdr:colOff>
      <xdr:row>5</xdr:row>
      <xdr:rowOff>66675</xdr:rowOff>
    </xdr:to>
    <xdr:sp macro="" textlink="">
      <xdr:nvSpPr>
        <xdr:cNvPr id="2" name="Llamada ovalada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571748" y="47624"/>
          <a:ext cx="2095501" cy="971551"/>
        </a:xfrm>
        <a:prstGeom prst="wedgeEllipseCallout">
          <a:avLst>
            <a:gd name="adj1" fmla="val -53106"/>
            <a:gd name="adj2" fmla="val 32593"/>
          </a:avLst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El</a:t>
          </a:r>
          <a:r>
            <a:rPr lang="es-CO" sz="1100" baseline="0"/>
            <a:t> cálculo se hace automáticamente. No modificar.</a:t>
          </a:r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"/>
  <sheetViews>
    <sheetView showGridLines="0" tabSelected="1" zoomScaleNormal="100" zoomScaleSheetLayoutView="100" workbookViewId="0">
      <selection activeCell="S18" sqref="S18"/>
    </sheetView>
  </sheetViews>
  <sheetFormatPr baseColWidth="10" defaultColWidth="9.140625" defaultRowHeight="15" x14ac:dyDescent="0.25"/>
  <cols>
    <col min="1" max="1" width="7.140625" customWidth="1"/>
    <col min="2" max="2" width="56.85546875" customWidth="1"/>
    <col min="3" max="16" width="5.28515625" customWidth="1"/>
    <col min="17" max="17" width="19.7109375" customWidth="1"/>
    <col min="18" max="20" width="10.7109375" customWidth="1"/>
  </cols>
  <sheetData>
    <row r="1" spans="1:17" x14ac:dyDescent="0.25">
      <c r="A1" s="7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9</v>
      </c>
    </row>
    <row r="2" spans="1:17" x14ac:dyDescent="0.25">
      <c r="A2" s="8" t="s">
        <v>2</v>
      </c>
      <c r="B2" s="11" t="s">
        <v>26</v>
      </c>
      <c r="C2" s="9">
        <v>0</v>
      </c>
      <c r="D2" s="8">
        <v>0</v>
      </c>
      <c r="E2" s="8">
        <v>0</v>
      </c>
      <c r="F2" s="8">
        <v>0</v>
      </c>
      <c r="G2" s="8">
        <v>2</v>
      </c>
      <c r="H2" s="8">
        <v>1</v>
      </c>
      <c r="I2" s="8">
        <v>0</v>
      </c>
      <c r="J2" s="8">
        <v>0</v>
      </c>
      <c r="K2" s="8">
        <v>0</v>
      </c>
      <c r="L2" s="8">
        <v>2</v>
      </c>
      <c r="M2" s="8">
        <v>0</v>
      </c>
      <c r="N2" s="8">
        <v>1</v>
      </c>
      <c r="O2" s="8">
        <v>0</v>
      </c>
      <c r="P2" s="8">
        <v>0</v>
      </c>
      <c r="Q2" s="9">
        <f t="shared" ref="Q2:Q15" si="0">SUM(C2:P2)</f>
        <v>6</v>
      </c>
    </row>
    <row r="3" spans="1:17" x14ac:dyDescent="0.25">
      <c r="A3" s="8" t="s">
        <v>3</v>
      </c>
      <c r="B3" s="11" t="s">
        <v>27</v>
      </c>
      <c r="C3" s="8">
        <v>3</v>
      </c>
      <c r="D3" s="9">
        <v>0</v>
      </c>
      <c r="E3" s="8">
        <v>2</v>
      </c>
      <c r="F3" s="8">
        <v>2</v>
      </c>
      <c r="G3" s="8">
        <v>0</v>
      </c>
      <c r="H3" s="8">
        <v>0</v>
      </c>
      <c r="I3" s="8">
        <v>0</v>
      </c>
      <c r="J3" s="8">
        <v>0</v>
      </c>
      <c r="K3" s="8">
        <v>1</v>
      </c>
      <c r="L3" s="8">
        <v>1</v>
      </c>
      <c r="M3" s="8">
        <v>0</v>
      </c>
      <c r="N3" s="8">
        <v>2</v>
      </c>
      <c r="O3" s="8">
        <v>2</v>
      </c>
      <c r="P3" s="8">
        <v>0</v>
      </c>
      <c r="Q3" s="9">
        <f t="shared" si="0"/>
        <v>13</v>
      </c>
    </row>
    <row r="4" spans="1:17" ht="20.25" customHeight="1" x14ac:dyDescent="0.25">
      <c r="A4" s="8" t="s">
        <v>4</v>
      </c>
      <c r="B4" s="11" t="s">
        <v>28</v>
      </c>
      <c r="C4" s="8">
        <v>3</v>
      </c>
      <c r="D4" s="8">
        <v>0</v>
      </c>
      <c r="E4" s="9">
        <v>0</v>
      </c>
      <c r="F4" s="8">
        <v>2</v>
      </c>
      <c r="G4" s="8">
        <v>3</v>
      </c>
      <c r="H4" s="8">
        <v>1</v>
      </c>
      <c r="I4" s="8">
        <v>3</v>
      </c>
      <c r="J4" s="8">
        <v>0</v>
      </c>
      <c r="K4" s="8">
        <v>2</v>
      </c>
      <c r="L4" s="8">
        <v>3</v>
      </c>
      <c r="M4" s="8">
        <v>1</v>
      </c>
      <c r="N4" s="8">
        <v>1</v>
      </c>
      <c r="O4" s="8">
        <v>2</v>
      </c>
      <c r="P4" s="8">
        <v>0</v>
      </c>
      <c r="Q4" s="9">
        <f t="shared" si="0"/>
        <v>21</v>
      </c>
    </row>
    <row r="5" spans="1:17" ht="20.25" customHeight="1" x14ac:dyDescent="0.25">
      <c r="A5" s="8" t="s">
        <v>5</v>
      </c>
      <c r="B5" s="11" t="s">
        <v>23</v>
      </c>
      <c r="C5" s="8">
        <v>3</v>
      </c>
      <c r="D5" s="8">
        <v>2</v>
      </c>
      <c r="E5" s="8">
        <v>1</v>
      </c>
      <c r="F5" s="9">
        <v>0</v>
      </c>
      <c r="G5" s="8">
        <v>2</v>
      </c>
      <c r="H5" s="8">
        <v>2</v>
      </c>
      <c r="I5" s="8">
        <v>2</v>
      </c>
      <c r="J5" s="8">
        <v>2</v>
      </c>
      <c r="K5" s="8">
        <v>3</v>
      </c>
      <c r="L5" s="8">
        <v>3</v>
      </c>
      <c r="M5" s="8">
        <v>2</v>
      </c>
      <c r="N5" s="8">
        <v>3</v>
      </c>
      <c r="O5" s="8">
        <v>3</v>
      </c>
      <c r="P5" s="8">
        <v>3</v>
      </c>
      <c r="Q5" s="9">
        <f t="shared" si="0"/>
        <v>31</v>
      </c>
    </row>
    <row r="6" spans="1:17" ht="15" customHeight="1" x14ac:dyDescent="0.25">
      <c r="A6" s="8" t="s">
        <v>6</v>
      </c>
      <c r="B6" s="11" t="s">
        <v>24</v>
      </c>
      <c r="C6" s="8">
        <v>0</v>
      </c>
      <c r="D6" s="8">
        <v>1</v>
      </c>
      <c r="E6" s="8">
        <v>3</v>
      </c>
      <c r="F6" s="8">
        <v>3</v>
      </c>
      <c r="G6" s="9">
        <v>0</v>
      </c>
      <c r="H6" s="8">
        <v>3</v>
      </c>
      <c r="I6" s="8">
        <v>3</v>
      </c>
      <c r="J6" s="8">
        <v>1</v>
      </c>
      <c r="K6" s="8">
        <v>1</v>
      </c>
      <c r="L6" s="8">
        <v>3</v>
      </c>
      <c r="M6" s="8">
        <v>0</v>
      </c>
      <c r="N6" s="8">
        <v>2</v>
      </c>
      <c r="O6" s="8">
        <v>1</v>
      </c>
      <c r="P6" s="8">
        <v>1</v>
      </c>
      <c r="Q6" s="9">
        <f t="shared" si="0"/>
        <v>22</v>
      </c>
    </row>
    <row r="7" spans="1:17" s="1" customFormat="1" ht="20.25" customHeight="1" x14ac:dyDescent="0.25">
      <c r="A7" s="8" t="s">
        <v>7</v>
      </c>
      <c r="B7" s="11" t="s">
        <v>29</v>
      </c>
      <c r="C7" s="8">
        <v>0</v>
      </c>
      <c r="D7" s="8">
        <v>0</v>
      </c>
      <c r="E7" s="8">
        <v>0</v>
      </c>
      <c r="F7" s="8">
        <v>0</v>
      </c>
      <c r="G7" s="8">
        <v>2</v>
      </c>
      <c r="H7" s="9">
        <v>0</v>
      </c>
      <c r="I7" s="8">
        <v>0</v>
      </c>
      <c r="J7" s="8">
        <v>0</v>
      </c>
      <c r="K7" s="8">
        <v>3</v>
      </c>
      <c r="L7" s="8">
        <v>3</v>
      </c>
      <c r="M7" s="8">
        <v>2</v>
      </c>
      <c r="N7" s="8">
        <v>0</v>
      </c>
      <c r="O7" s="8">
        <v>0</v>
      </c>
      <c r="P7" s="8">
        <v>3</v>
      </c>
      <c r="Q7" s="9">
        <f t="shared" si="0"/>
        <v>13</v>
      </c>
    </row>
    <row r="8" spans="1:17" ht="20.100000000000001" customHeight="1" x14ac:dyDescent="0.25">
      <c r="A8" s="8" t="s">
        <v>8</v>
      </c>
      <c r="B8" s="11" t="s">
        <v>30</v>
      </c>
      <c r="C8" s="8">
        <v>1</v>
      </c>
      <c r="D8" s="8">
        <v>0</v>
      </c>
      <c r="E8" s="8">
        <v>2</v>
      </c>
      <c r="F8" s="8">
        <v>1</v>
      </c>
      <c r="G8" s="8">
        <v>0</v>
      </c>
      <c r="H8" s="8">
        <v>0</v>
      </c>
      <c r="I8" s="9">
        <v>0</v>
      </c>
      <c r="J8" s="8">
        <v>0</v>
      </c>
      <c r="K8" s="8">
        <v>0</v>
      </c>
      <c r="L8" s="8">
        <v>3</v>
      </c>
      <c r="M8" s="8">
        <v>0</v>
      </c>
      <c r="N8" s="8">
        <v>2</v>
      </c>
      <c r="O8" s="8">
        <v>0</v>
      </c>
      <c r="P8" s="8">
        <v>1</v>
      </c>
      <c r="Q8" s="9">
        <f t="shared" si="0"/>
        <v>10</v>
      </c>
    </row>
    <row r="9" spans="1:17" ht="20.100000000000001" customHeight="1" x14ac:dyDescent="0.25">
      <c r="A9" s="8" t="s">
        <v>16</v>
      </c>
      <c r="B9" s="11" t="s">
        <v>31</v>
      </c>
      <c r="C9" s="8">
        <v>0</v>
      </c>
      <c r="D9" s="8">
        <v>0</v>
      </c>
      <c r="E9" s="8">
        <v>0</v>
      </c>
      <c r="F9" s="8">
        <v>0</v>
      </c>
      <c r="G9" s="8">
        <v>1</v>
      </c>
      <c r="H9" s="8">
        <v>0</v>
      </c>
      <c r="I9" s="8">
        <v>0</v>
      </c>
      <c r="J9" s="9">
        <v>0</v>
      </c>
      <c r="K9" s="8">
        <v>0</v>
      </c>
      <c r="L9" s="8">
        <v>0</v>
      </c>
      <c r="M9" s="8">
        <v>3</v>
      </c>
      <c r="N9" s="8">
        <v>0</v>
      </c>
      <c r="O9" s="8">
        <v>3</v>
      </c>
      <c r="P9" s="8">
        <v>0</v>
      </c>
      <c r="Q9" s="9">
        <f t="shared" si="0"/>
        <v>7</v>
      </c>
    </row>
    <row r="10" spans="1:17" ht="20.100000000000001" customHeight="1" x14ac:dyDescent="0.25">
      <c r="A10" s="8" t="s">
        <v>17</v>
      </c>
      <c r="B10" s="11" t="s">
        <v>32</v>
      </c>
      <c r="C10" s="8">
        <v>2</v>
      </c>
      <c r="D10" s="8">
        <v>3</v>
      </c>
      <c r="E10" s="8">
        <v>0</v>
      </c>
      <c r="F10" s="8">
        <v>3</v>
      </c>
      <c r="G10" s="8">
        <v>1</v>
      </c>
      <c r="H10" s="8">
        <v>2</v>
      </c>
      <c r="I10" s="8">
        <v>0</v>
      </c>
      <c r="J10" s="8">
        <v>0</v>
      </c>
      <c r="K10" s="9">
        <v>0</v>
      </c>
      <c r="L10" s="8">
        <v>2</v>
      </c>
      <c r="M10" s="10">
        <v>2</v>
      </c>
      <c r="N10" s="8">
        <v>0</v>
      </c>
      <c r="O10" s="8">
        <v>1</v>
      </c>
      <c r="P10" s="8">
        <v>3</v>
      </c>
      <c r="Q10" s="9">
        <f t="shared" si="0"/>
        <v>19</v>
      </c>
    </row>
    <row r="11" spans="1:17" ht="20.100000000000001" customHeight="1" x14ac:dyDescent="0.25">
      <c r="A11" s="8" t="s">
        <v>18</v>
      </c>
      <c r="B11" s="11" t="s">
        <v>33</v>
      </c>
      <c r="C11" s="8">
        <v>3</v>
      </c>
      <c r="D11" s="8">
        <v>2</v>
      </c>
      <c r="E11" s="8">
        <v>3</v>
      </c>
      <c r="F11" s="8">
        <v>1</v>
      </c>
      <c r="G11" s="8">
        <v>0</v>
      </c>
      <c r="H11" s="8">
        <v>0</v>
      </c>
      <c r="I11" s="8">
        <v>1</v>
      </c>
      <c r="J11" s="8">
        <v>0</v>
      </c>
      <c r="K11" s="8">
        <v>3</v>
      </c>
      <c r="L11" s="9">
        <v>0</v>
      </c>
      <c r="M11" s="10">
        <v>1</v>
      </c>
      <c r="N11" s="8">
        <v>0</v>
      </c>
      <c r="O11" s="8">
        <v>3</v>
      </c>
      <c r="P11" s="8">
        <v>3</v>
      </c>
      <c r="Q11" s="9">
        <f t="shared" si="0"/>
        <v>20</v>
      </c>
    </row>
    <row r="12" spans="1:17" ht="20.100000000000001" customHeight="1" x14ac:dyDescent="0.25">
      <c r="A12" s="8" t="s">
        <v>19</v>
      </c>
      <c r="B12" s="11" t="s">
        <v>34</v>
      </c>
      <c r="C12" s="8">
        <v>1</v>
      </c>
      <c r="D12" s="8">
        <v>2</v>
      </c>
      <c r="E12" s="8">
        <v>0</v>
      </c>
      <c r="F12" s="8">
        <v>2</v>
      </c>
      <c r="G12" s="8">
        <v>1</v>
      </c>
      <c r="H12" s="8">
        <v>2</v>
      </c>
      <c r="I12" s="8">
        <v>0</v>
      </c>
      <c r="J12" s="8">
        <v>3</v>
      </c>
      <c r="K12" s="8">
        <v>3</v>
      </c>
      <c r="L12" s="8">
        <v>2</v>
      </c>
      <c r="M12" s="9">
        <v>0</v>
      </c>
      <c r="N12" s="8">
        <v>0</v>
      </c>
      <c r="O12" s="10">
        <v>1</v>
      </c>
      <c r="P12" s="8">
        <v>2</v>
      </c>
      <c r="Q12" s="9">
        <f t="shared" si="0"/>
        <v>19</v>
      </c>
    </row>
    <row r="13" spans="1:17" ht="20.100000000000001" customHeight="1" x14ac:dyDescent="0.25">
      <c r="A13" s="8" t="s">
        <v>20</v>
      </c>
      <c r="B13" s="11" t="s">
        <v>25</v>
      </c>
      <c r="C13" s="8">
        <v>1</v>
      </c>
      <c r="D13" s="8">
        <v>0</v>
      </c>
      <c r="E13" s="8">
        <v>2</v>
      </c>
      <c r="F13" s="8">
        <v>0</v>
      </c>
      <c r="G13" s="8">
        <v>0</v>
      </c>
      <c r="H13" s="8">
        <v>1</v>
      </c>
      <c r="I13" s="8">
        <v>1</v>
      </c>
      <c r="J13" s="8">
        <v>1</v>
      </c>
      <c r="K13" s="8">
        <v>3</v>
      </c>
      <c r="L13" s="8">
        <v>3</v>
      </c>
      <c r="M13" s="10">
        <v>1</v>
      </c>
      <c r="N13" s="9">
        <v>0</v>
      </c>
      <c r="O13" s="10">
        <v>2</v>
      </c>
      <c r="P13" s="10">
        <v>2</v>
      </c>
      <c r="Q13" s="9">
        <f t="shared" si="0"/>
        <v>17</v>
      </c>
    </row>
    <row r="14" spans="1:17" ht="20.100000000000001" customHeight="1" x14ac:dyDescent="0.25">
      <c r="A14" s="8" t="s">
        <v>21</v>
      </c>
      <c r="B14" s="11" t="s">
        <v>36</v>
      </c>
      <c r="C14" s="8">
        <v>1</v>
      </c>
      <c r="D14" s="8">
        <v>0</v>
      </c>
      <c r="E14" s="8">
        <v>0</v>
      </c>
      <c r="F14" s="8">
        <v>3</v>
      </c>
      <c r="G14" s="8">
        <v>0</v>
      </c>
      <c r="H14" s="8">
        <v>0</v>
      </c>
      <c r="I14" s="8">
        <v>0</v>
      </c>
      <c r="J14" s="8">
        <v>2</v>
      </c>
      <c r="K14" s="8">
        <v>1</v>
      </c>
      <c r="L14" s="8">
        <v>2</v>
      </c>
      <c r="M14" s="10">
        <v>1</v>
      </c>
      <c r="N14" s="8">
        <v>0</v>
      </c>
      <c r="O14" s="9">
        <v>0</v>
      </c>
      <c r="P14" s="10">
        <v>2</v>
      </c>
      <c r="Q14" s="9">
        <f t="shared" si="0"/>
        <v>12</v>
      </c>
    </row>
    <row r="15" spans="1:17" ht="20.100000000000001" customHeight="1" x14ac:dyDescent="0.25">
      <c r="A15" s="8" t="s">
        <v>22</v>
      </c>
      <c r="B15" s="11" t="s">
        <v>35</v>
      </c>
      <c r="C15" s="8">
        <v>3</v>
      </c>
      <c r="D15" s="8">
        <v>0</v>
      </c>
      <c r="E15" s="8">
        <v>0</v>
      </c>
      <c r="F15" s="8">
        <v>1</v>
      </c>
      <c r="G15" s="8">
        <v>1</v>
      </c>
      <c r="H15" s="8">
        <v>1</v>
      </c>
      <c r="I15" s="8">
        <v>0</v>
      </c>
      <c r="J15" s="8">
        <v>0</v>
      </c>
      <c r="K15" s="8">
        <v>2</v>
      </c>
      <c r="L15" s="8">
        <v>3</v>
      </c>
      <c r="M15" s="8">
        <v>1</v>
      </c>
      <c r="N15" s="8">
        <v>0</v>
      </c>
      <c r="O15" s="8">
        <v>0</v>
      </c>
      <c r="P15" s="9">
        <v>0</v>
      </c>
      <c r="Q15" s="9">
        <f t="shared" si="0"/>
        <v>12</v>
      </c>
    </row>
    <row r="16" spans="1:17" ht="20.100000000000001" customHeight="1" x14ac:dyDescent="0.25">
      <c r="A16" s="13" t="s">
        <v>10</v>
      </c>
      <c r="B16" s="14"/>
      <c r="C16" s="9">
        <f t="shared" ref="C16:P16" si="1">SUM(C2:C15)</f>
        <v>21</v>
      </c>
      <c r="D16" s="9">
        <f t="shared" si="1"/>
        <v>10</v>
      </c>
      <c r="E16" s="9">
        <f t="shared" si="1"/>
        <v>13</v>
      </c>
      <c r="F16" s="9">
        <f t="shared" si="1"/>
        <v>18</v>
      </c>
      <c r="G16" s="9">
        <f t="shared" si="1"/>
        <v>13</v>
      </c>
      <c r="H16" s="9">
        <f t="shared" si="1"/>
        <v>13</v>
      </c>
      <c r="I16" s="9">
        <f t="shared" si="1"/>
        <v>10</v>
      </c>
      <c r="J16" s="9">
        <f t="shared" si="1"/>
        <v>9</v>
      </c>
      <c r="K16" s="9">
        <f t="shared" si="1"/>
        <v>22</v>
      </c>
      <c r="L16" s="9">
        <f t="shared" si="1"/>
        <v>30</v>
      </c>
      <c r="M16" s="9">
        <f t="shared" si="1"/>
        <v>14</v>
      </c>
      <c r="N16" s="9">
        <f t="shared" si="1"/>
        <v>11</v>
      </c>
      <c r="O16" s="9">
        <f t="shared" si="1"/>
        <v>18</v>
      </c>
      <c r="P16" s="9">
        <f t="shared" si="1"/>
        <v>20</v>
      </c>
      <c r="Q16" s="9"/>
    </row>
    <row r="17" spans="1:17" ht="20.100000000000001" customHeight="1" x14ac:dyDescent="0.25">
      <c r="A17" s="5"/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ht="20.100000000000001" customHeight="1" x14ac:dyDescent="0.25">
      <c r="A18" s="12" t="s">
        <v>11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ht="20.100000000000001" customHeight="1" x14ac:dyDescent="0.25"/>
    <row r="20" spans="1:17" ht="17.25" customHeight="1" x14ac:dyDescent="0.25">
      <c r="Q20" s="19"/>
    </row>
    <row r="21" spans="1:17" x14ac:dyDescent="0.25">
      <c r="Q21" s="19"/>
    </row>
    <row r="22" spans="1:17" ht="50.45" customHeight="1" x14ac:dyDescent="0.25">
      <c r="Q22" s="19"/>
    </row>
    <row r="23" spans="1:17" ht="31.9" customHeight="1" x14ac:dyDescent="0.25">
      <c r="Q23" s="19"/>
    </row>
    <row r="24" spans="1:17" ht="38.450000000000003" customHeight="1" x14ac:dyDescent="0.25">
      <c r="Q24" s="19"/>
    </row>
    <row r="25" spans="1:17" ht="15.6" customHeight="1" x14ac:dyDescent="0.25">
      <c r="Q25" s="19"/>
    </row>
    <row r="26" spans="1:17" ht="61.15" customHeight="1" x14ac:dyDescent="0.25">
      <c r="Q26" s="19"/>
    </row>
    <row r="27" spans="1:17" hidden="1" x14ac:dyDescent="0.25">
      <c r="Q27" s="19"/>
    </row>
    <row r="28" spans="1:17" hidden="1" x14ac:dyDescent="0.25">
      <c r="Q28" s="19"/>
    </row>
    <row r="29" spans="1:17" hidden="1" x14ac:dyDescent="0.25">
      <c r="Q29" s="19"/>
    </row>
    <row r="30" spans="1:17" hidden="1" x14ac:dyDescent="0.25">
      <c r="Q30" s="19"/>
    </row>
    <row r="31" spans="1:17" hidden="1" x14ac:dyDescent="0.25">
      <c r="Q31" s="19"/>
    </row>
    <row r="32" spans="1:17" hidden="1" x14ac:dyDescent="0.25">
      <c r="Q32" s="19"/>
    </row>
    <row r="33" spans="17:17" hidden="1" x14ac:dyDescent="0.25">
      <c r="Q33" s="19"/>
    </row>
    <row r="34" spans="17:17" hidden="1" x14ac:dyDescent="0.25">
      <c r="Q34" s="19"/>
    </row>
    <row r="35" spans="17:17" hidden="1" x14ac:dyDescent="0.25"/>
    <row r="36" spans="17:17" hidden="1" x14ac:dyDescent="0.25"/>
    <row r="37" spans="17:17" hidden="1" x14ac:dyDescent="0.25"/>
    <row r="38" spans="17:17" hidden="1" x14ac:dyDescent="0.25"/>
    <row r="39" spans="17:17" hidden="1" x14ac:dyDescent="0.25"/>
    <row r="40" spans="17:17" ht="20.25" customHeight="1" x14ac:dyDescent="0.25"/>
    <row r="68" ht="15" customHeight="1" x14ac:dyDescent="0.25"/>
  </sheetData>
  <mergeCells count="2">
    <mergeCell ref="A18:Q18"/>
    <mergeCell ref="A16:B16"/>
  </mergeCells>
  <phoneticPr fontId="9" type="noConversion"/>
  <conditionalFormatting sqref="C2:P15">
    <cfRule type="cellIs" dxfId="0" priority="1" operator="greaterThan">
      <formula>3</formula>
    </cfRule>
  </conditionalFormatting>
  <pageMargins left="0.70866141732283472" right="0.70866141732283472" top="0.74803149606299213" bottom="0.74803149606299213" header="0.31496062992125984" footer="0.31496062992125984"/>
  <pageSetup scale="51" orientation="landscape" r:id="rId1"/>
  <colBreaks count="1" manualBreakCount="1">
    <brk id="17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showGridLines="0" workbookViewId="0">
      <selection activeCell="G19" sqref="G19"/>
    </sheetView>
  </sheetViews>
  <sheetFormatPr baseColWidth="10" defaultColWidth="9.140625" defaultRowHeight="15" x14ac:dyDescent="0.25"/>
  <sheetData>
    <row r="1" spans="1:6" ht="15" customHeight="1" x14ac:dyDescent="0.25">
      <c r="C1" s="2" t="s">
        <v>12</v>
      </c>
      <c r="D1" s="2" t="s">
        <v>13</v>
      </c>
      <c r="F1" s="3"/>
    </row>
    <row r="2" spans="1:6" ht="15" customHeight="1" x14ac:dyDescent="0.25">
      <c r="A2" s="15" t="s">
        <v>14</v>
      </c>
      <c r="B2" s="16"/>
      <c r="C2" s="4">
        <v>0</v>
      </c>
      <c r="D2" s="4">
        <f>MAX(Dependencia)/2</f>
        <v>15</v>
      </c>
      <c r="E2" s="3"/>
      <c r="F2" s="3"/>
    </row>
    <row r="3" spans="1:6" x14ac:dyDescent="0.25">
      <c r="A3" s="17"/>
      <c r="B3" s="18"/>
      <c r="C3" s="4">
        <f>MAX(Influencia)</f>
        <v>31</v>
      </c>
      <c r="D3" s="4">
        <f>MAX(Dependencia)/2</f>
        <v>15</v>
      </c>
    </row>
    <row r="4" spans="1:6" ht="15" customHeight="1" x14ac:dyDescent="0.25">
      <c r="A4" s="15" t="s">
        <v>15</v>
      </c>
      <c r="B4" s="16"/>
      <c r="C4" s="4">
        <f>MAX(Influencia)/2</f>
        <v>15.5</v>
      </c>
      <c r="D4" s="4">
        <v>0</v>
      </c>
    </row>
    <row r="5" spans="1:6" x14ac:dyDescent="0.25">
      <c r="A5" s="17"/>
      <c r="B5" s="18"/>
      <c r="C5" s="4">
        <f>MAX(Influencia)/2</f>
        <v>15.5</v>
      </c>
      <c r="D5" s="4">
        <f>MAX(Dependencia)</f>
        <v>30</v>
      </c>
    </row>
  </sheetData>
  <mergeCells count="2">
    <mergeCell ref="A4:B5"/>
    <mergeCell ref="A2:B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Matriz y gráfico</vt:lpstr>
      <vt:lpstr>Parámetros</vt:lpstr>
      <vt:lpstr>Dependencia</vt:lpstr>
      <vt:lpstr>Influencia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Ingenio Empresa</dc:creator>
  <cp:keywords/>
  <dc:description/>
  <cp:lastModifiedBy>Tomas Londoño Muriel</cp:lastModifiedBy>
  <cp:revision/>
  <cp:lastPrinted>2023-09-25T11:01:29Z</cp:lastPrinted>
  <dcterms:created xsi:type="dcterms:W3CDTF">2011-08-11T16:16:29Z</dcterms:created>
  <dcterms:modified xsi:type="dcterms:W3CDTF">2025-11-08T02:37:35Z</dcterms:modified>
  <cp:category/>
  <cp:contentStatus/>
</cp:coreProperties>
</file>